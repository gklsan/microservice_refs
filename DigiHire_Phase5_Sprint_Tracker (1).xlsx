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82D6C7D7-9F57-4CAD-A589-79A101545793}" xr6:coauthVersionLast="47" xr6:coauthVersionMax="47" xr10:uidLastSave="{00000000-0000-0000-0000-000000000000}"/>
  <bookViews>
    <workbookView xWindow="0" yWindow="0" windowWidth="16384" windowHeight="8192" tabRatio="500" firstSheet="3" activeTab="3" xr2:uid="{00000000-000D-0000-FFFF-FFFF00000000}"/>
  </bookViews>
  <sheets>
    <sheet name="Summary" sheetId="1" r:id="rId1"/>
    <sheet name="Master Tracker" sheetId="2" r:id="rId2"/>
    <sheet name="P5-S1" sheetId="3" r:id="rId3"/>
    <sheet name="P5-S2" sheetId="4" r:id="rId4"/>
    <sheet name="P5-S3" sheetId="5" r:id="rId5"/>
    <sheet name="P5-S4" sheetId="6" r:id="rId6"/>
    <sheet name="P5-S5" sheetId="7" r:id="rId7"/>
    <sheet name="P5-S6" sheetId="8" r:id="rId8"/>
    <sheet name="Dependencies" sheetId="9" r:id="rId9"/>
    <sheet name="Oracle" sheetId="12" r:id="rId10"/>
    <sheet name="Deps by Team" sheetId="10" r:id="rId11"/>
    <sheet name="Lists" sheetId="11" state="hidden" r:id="rId12"/>
  </sheets>
  <definedNames>
    <definedName name="_xlnm._FilterDatabase" localSheetId="10" hidden="1">'Deps by Team'!$A$14:$I$88</definedName>
    <definedName name="_xlnm._FilterDatabase" localSheetId="1" hidden="1">'Master Tracker'!$A$2:$O$179</definedName>
    <definedName name="_xlnm._FilterDatabase" localSheetId="2" hidden="1">'P5-S1'!$A$2:$N$34</definedName>
    <definedName name="_xlnm._FilterDatabase" localSheetId="3" hidden="1">'P5-S2'!$A$2:$N$25</definedName>
    <definedName name="_xlnm._FilterDatabase" localSheetId="4" hidden="1">'P5-S3'!$A$2:$N$33</definedName>
    <definedName name="_xlnm._FilterDatabase" localSheetId="5" hidden="1">'P5-S4'!$A$2:$N$36</definedName>
    <definedName name="_xlnm._FilterDatabase" localSheetId="6" hidden="1">'P5-S5'!$A$2:$N$32</definedName>
    <definedName name="_xlnm._FilterDatabase" localSheetId="7" hidden="1">'P5-S6'!$A$2:$N$29</definedName>
    <definedName name="_xlnm._FilterDatabase" localSheetId="8" hidden="1">Dependencies!$A$2:$J$76</definedName>
    <definedName name="DeployStatus">Lists!$C$2:$C$8</definedName>
    <definedName name="DepStatus">Lists!$F$2:$F$8</definedName>
    <definedName name="DepType">Lists!$G$2:$G$3</definedName>
    <definedName name="DevStatus">Lists!$A$2:$A$9</definedName>
    <definedName name="Layer">Lists!$E$2:$E$4</definedName>
    <definedName name="Priority">Lists!$D$2:$D$4</definedName>
    <definedName name="QAStatus">Lists!$B$2:$B$8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8" i="10" l="1"/>
  <c r="I87" i="10"/>
  <c r="I86" i="10"/>
  <c r="I85" i="10"/>
  <c r="I84" i="10"/>
  <c r="I83" i="10"/>
  <c r="I82" i="10"/>
  <c r="I81" i="10"/>
  <c r="I80" i="10"/>
  <c r="I79" i="10"/>
  <c r="I78" i="10"/>
  <c r="I77" i="10"/>
  <c r="I76" i="10"/>
  <c r="I75" i="10"/>
  <c r="I74" i="10"/>
  <c r="I73" i="10"/>
  <c r="I72" i="10"/>
  <c r="I71" i="10"/>
  <c r="I70" i="10"/>
  <c r="I69" i="10"/>
  <c r="I68" i="10"/>
  <c r="I67" i="10"/>
  <c r="I66" i="10"/>
  <c r="I65" i="10"/>
  <c r="I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H10" i="10"/>
  <c r="G10" i="10"/>
  <c r="F10" i="10"/>
  <c r="E10" i="10"/>
  <c r="D10" i="10"/>
  <c r="C10" i="10"/>
  <c r="B10" i="10"/>
  <c r="I10" i="10" s="1"/>
  <c r="H9" i="10"/>
  <c r="G9" i="10"/>
  <c r="F9" i="10"/>
  <c r="E9" i="10"/>
  <c r="D9" i="10"/>
  <c r="C9" i="10"/>
  <c r="B9" i="10"/>
  <c r="I9" i="10" s="1"/>
  <c r="H8" i="10"/>
  <c r="G8" i="10"/>
  <c r="F8" i="10"/>
  <c r="E8" i="10"/>
  <c r="D8" i="10"/>
  <c r="C8" i="10"/>
  <c r="B8" i="10"/>
  <c r="I8" i="10" s="1"/>
  <c r="H7" i="10"/>
  <c r="G7" i="10"/>
  <c r="F7" i="10"/>
  <c r="E7" i="10"/>
  <c r="D7" i="10"/>
  <c r="C7" i="10"/>
  <c r="B7" i="10"/>
  <c r="I7" i="10" s="1"/>
  <c r="H6" i="10"/>
  <c r="G6" i="10"/>
  <c r="F6" i="10"/>
  <c r="E6" i="10"/>
  <c r="D6" i="10"/>
  <c r="C6" i="10"/>
  <c r="B6" i="10"/>
  <c r="I6" i="10" s="1"/>
  <c r="H5" i="10"/>
  <c r="G5" i="10"/>
  <c r="F5" i="10"/>
  <c r="E5" i="10"/>
  <c r="D5" i="10"/>
  <c r="C5" i="10"/>
  <c r="B5" i="10"/>
  <c r="I5" i="10" s="1"/>
  <c r="H4" i="10"/>
  <c r="G4" i="10"/>
  <c r="F4" i="10"/>
  <c r="E4" i="10"/>
  <c r="D4" i="10"/>
  <c r="C4" i="10"/>
  <c r="B4" i="10"/>
  <c r="I4" i="10" s="1"/>
  <c r="H3" i="10"/>
  <c r="H11" i="10" s="1"/>
  <c r="G3" i="10"/>
  <c r="G11" i="10" s="1"/>
  <c r="F3" i="10"/>
  <c r="F11" i="10" s="1"/>
  <c r="E3" i="10"/>
  <c r="E11" i="10" s="1"/>
  <c r="D3" i="10"/>
  <c r="D11" i="10" s="1"/>
  <c r="C3" i="10"/>
  <c r="C11" i="10" s="1"/>
  <c r="B3" i="10"/>
  <c r="O179" i="2"/>
  <c r="N179" i="2"/>
  <c r="M179" i="2"/>
  <c r="L179" i="2"/>
  <c r="K179" i="2"/>
  <c r="J179" i="2"/>
  <c r="I179" i="2"/>
  <c r="H179" i="2"/>
  <c r="O178" i="2"/>
  <c r="N178" i="2"/>
  <c r="M178" i="2"/>
  <c r="L178" i="2"/>
  <c r="K178" i="2"/>
  <c r="J178" i="2"/>
  <c r="I178" i="2"/>
  <c r="H178" i="2"/>
  <c r="O177" i="2"/>
  <c r="N177" i="2"/>
  <c r="M177" i="2"/>
  <c r="L177" i="2"/>
  <c r="K177" i="2"/>
  <c r="J177" i="2"/>
  <c r="I177" i="2"/>
  <c r="H177" i="2"/>
  <c r="O176" i="2"/>
  <c r="N176" i="2"/>
  <c r="M176" i="2"/>
  <c r="L176" i="2"/>
  <c r="K176" i="2"/>
  <c r="J176" i="2"/>
  <c r="I176" i="2"/>
  <c r="H176" i="2"/>
  <c r="O175" i="2"/>
  <c r="N175" i="2"/>
  <c r="M175" i="2"/>
  <c r="L175" i="2"/>
  <c r="K175" i="2"/>
  <c r="J175" i="2"/>
  <c r="I175" i="2"/>
  <c r="H175" i="2"/>
  <c r="O174" i="2"/>
  <c r="N174" i="2"/>
  <c r="M174" i="2"/>
  <c r="L174" i="2"/>
  <c r="K174" i="2"/>
  <c r="J174" i="2"/>
  <c r="I174" i="2"/>
  <c r="H174" i="2"/>
  <c r="O173" i="2"/>
  <c r="N173" i="2"/>
  <c r="M173" i="2"/>
  <c r="L173" i="2"/>
  <c r="K173" i="2"/>
  <c r="J173" i="2"/>
  <c r="I173" i="2"/>
  <c r="H173" i="2"/>
  <c r="O172" i="2"/>
  <c r="N172" i="2"/>
  <c r="M172" i="2"/>
  <c r="L172" i="2"/>
  <c r="K172" i="2"/>
  <c r="J172" i="2"/>
  <c r="I172" i="2"/>
  <c r="H172" i="2"/>
  <c r="O171" i="2"/>
  <c r="N171" i="2"/>
  <c r="M171" i="2"/>
  <c r="L171" i="2"/>
  <c r="K171" i="2"/>
  <c r="J171" i="2"/>
  <c r="I171" i="2"/>
  <c r="H171" i="2"/>
  <c r="O170" i="2"/>
  <c r="N170" i="2"/>
  <c r="M170" i="2"/>
  <c r="L170" i="2"/>
  <c r="K170" i="2"/>
  <c r="J170" i="2"/>
  <c r="I170" i="2"/>
  <c r="H170" i="2"/>
  <c r="O169" i="2"/>
  <c r="N169" i="2"/>
  <c r="M169" i="2"/>
  <c r="L169" i="2"/>
  <c r="K169" i="2"/>
  <c r="J169" i="2"/>
  <c r="I169" i="2"/>
  <c r="H169" i="2"/>
  <c r="O168" i="2"/>
  <c r="N168" i="2"/>
  <c r="M168" i="2"/>
  <c r="L168" i="2"/>
  <c r="K168" i="2"/>
  <c r="J168" i="2"/>
  <c r="I168" i="2"/>
  <c r="H168" i="2"/>
  <c r="O167" i="2"/>
  <c r="N167" i="2"/>
  <c r="M167" i="2"/>
  <c r="L167" i="2"/>
  <c r="K167" i="2"/>
  <c r="J167" i="2"/>
  <c r="I167" i="2"/>
  <c r="H167" i="2"/>
  <c r="O166" i="2"/>
  <c r="N166" i="2"/>
  <c r="M166" i="2"/>
  <c r="L166" i="2"/>
  <c r="K166" i="2"/>
  <c r="J166" i="2"/>
  <c r="I166" i="2"/>
  <c r="H166" i="2"/>
  <c r="O165" i="2"/>
  <c r="N165" i="2"/>
  <c r="M165" i="2"/>
  <c r="L165" i="2"/>
  <c r="K165" i="2"/>
  <c r="J165" i="2"/>
  <c r="I165" i="2"/>
  <c r="H165" i="2"/>
  <c r="O164" i="2"/>
  <c r="N164" i="2"/>
  <c r="M164" i="2"/>
  <c r="L164" i="2"/>
  <c r="K164" i="2"/>
  <c r="J164" i="2"/>
  <c r="I164" i="2"/>
  <c r="H164" i="2"/>
  <c r="O163" i="2"/>
  <c r="N163" i="2"/>
  <c r="M163" i="2"/>
  <c r="L163" i="2"/>
  <c r="K163" i="2"/>
  <c r="J163" i="2"/>
  <c r="I163" i="2"/>
  <c r="H163" i="2"/>
  <c r="O162" i="2"/>
  <c r="N162" i="2"/>
  <c r="M162" i="2"/>
  <c r="L162" i="2"/>
  <c r="K162" i="2"/>
  <c r="J162" i="2"/>
  <c r="I162" i="2"/>
  <c r="H162" i="2"/>
  <c r="O161" i="2"/>
  <c r="N161" i="2"/>
  <c r="M161" i="2"/>
  <c r="L161" i="2"/>
  <c r="K161" i="2"/>
  <c r="J161" i="2"/>
  <c r="I161" i="2"/>
  <c r="H161" i="2"/>
  <c r="O160" i="2"/>
  <c r="N160" i="2"/>
  <c r="M160" i="2"/>
  <c r="L160" i="2"/>
  <c r="K160" i="2"/>
  <c r="J160" i="2"/>
  <c r="I160" i="2"/>
  <c r="H160" i="2"/>
  <c r="O159" i="2"/>
  <c r="N159" i="2"/>
  <c r="M159" i="2"/>
  <c r="L159" i="2"/>
  <c r="K159" i="2"/>
  <c r="J159" i="2"/>
  <c r="I159" i="2"/>
  <c r="H159" i="2"/>
  <c r="O158" i="2"/>
  <c r="N158" i="2"/>
  <c r="M158" i="2"/>
  <c r="L158" i="2"/>
  <c r="K158" i="2"/>
  <c r="J158" i="2"/>
  <c r="I158" i="2"/>
  <c r="H158" i="2"/>
  <c r="O157" i="2"/>
  <c r="N157" i="2"/>
  <c r="M157" i="2"/>
  <c r="L157" i="2"/>
  <c r="K157" i="2"/>
  <c r="J157" i="2"/>
  <c r="I157" i="2"/>
  <c r="H157" i="2"/>
  <c r="O156" i="2"/>
  <c r="N156" i="2"/>
  <c r="M156" i="2"/>
  <c r="L156" i="2"/>
  <c r="K156" i="2"/>
  <c r="J156" i="2"/>
  <c r="I156" i="2"/>
  <c r="H156" i="2"/>
  <c r="O155" i="2"/>
  <c r="N155" i="2"/>
  <c r="M155" i="2"/>
  <c r="L155" i="2"/>
  <c r="K155" i="2"/>
  <c r="J155" i="2"/>
  <c r="I155" i="2"/>
  <c r="H155" i="2"/>
  <c r="O154" i="2"/>
  <c r="N154" i="2"/>
  <c r="M154" i="2"/>
  <c r="L154" i="2"/>
  <c r="K154" i="2"/>
  <c r="J154" i="2"/>
  <c r="I154" i="2"/>
  <c r="H154" i="2"/>
  <c r="O153" i="2"/>
  <c r="N153" i="2"/>
  <c r="M153" i="2"/>
  <c r="L153" i="2"/>
  <c r="K153" i="2"/>
  <c r="J153" i="2"/>
  <c r="I153" i="2"/>
  <c r="H153" i="2"/>
  <c r="O152" i="2"/>
  <c r="N152" i="2"/>
  <c r="M152" i="2"/>
  <c r="L152" i="2"/>
  <c r="K152" i="2"/>
  <c r="J152" i="2"/>
  <c r="I152" i="2"/>
  <c r="H152" i="2"/>
  <c r="O151" i="2"/>
  <c r="N151" i="2"/>
  <c r="M151" i="2"/>
  <c r="L151" i="2"/>
  <c r="K151" i="2"/>
  <c r="J151" i="2"/>
  <c r="I151" i="2"/>
  <c r="H151" i="2"/>
  <c r="O150" i="2"/>
  <c r="N150" i="2"/>
  <c r="M150" i="2"/>
  <c r="L150" i="2"/>
  <c r="K150" i="2"/>
  <c r="J150" i="2"/>
  <c r="I150" i="2"/>
  <c r="H150" i="2"/>
  <c r="O149" i="2"/>
  <c r="N149" i="2"/>
  <c r="M149" i="2"/>
  <c r="L149" i="2"/>
  <c r="K149" i="2"/>
  <c r="J149" i="2"/>
  <c r="I149" i="2"/>
  <c r="H149" i="2"/>
  <c r="O148" i="2"/>
  <c r="N148" i="2"/>
  <c r="M148" i="2"/>
  <c r="L148" i="2"/>
  <c r="K148" i="2"/>
  <c r="J148" i="2"/>
  <c r="I148" i="2"/>
  <c r="H148" i="2"/>
  <c r="O147" i="2"/>
  <c r="N147" i="2"/>
  <c r="M147" i="2"/>
  <c r="L147" i="2"/>
  <c r="K147" i="2"/>
  <c r="J147" i="2"/>
  <c r="I147" i="2"/>
  <c r="H147" i="2"/>
  <c r="O146" i="2"/>
  <c r="N146" i="2"/>
  <c r="M146" i="2"/>
  <c r="L146" i="2"/>
  <c r="K146" i="2"/>
  <c r="J146" i="2"/>
  <c r="I146" i="2"/>
  <c r="H146" i="2"/>
  <c r="O145" i="2"/>
  <c r="N145" i="2"/>
  <c r="M145" i="2"/>
  <c r="L145" i="2"/>
  <c r="K145" i="2"/>
  <c r="J145" i="2"/>
  <c r="I145" i="2"/>
  <c r="H145" i="2"/>
  <c r="O144" i="2"/>
  <c r="N144" i="2"/>
  <c r="M144" i="2"/>
  <c r="L144" i="2"/>
  <c r="K144" i="2"/>
  <c r="J144" i="2"/>
  <c r="I144" i="2"/>
  <c r="H144" i="2"/>
  <c r="O143" i="2"/>
  <c r="N143" i="2"/>
  <c r="M143" i="2"/>
  <c r="L143" i="2"/>
  <c r="K143" i="2"/>
  <c r="J143" i="2"/>
  <c r="I143" i="2"/>
  <c r="H143" i="2"/>
  <c r="O142" i="2"/>
  <c r="N142" i="2"/>
  <c r="M142" i="2"/>
  <c r="L142" i="2"/>
  <c r="K142" i="2"/>
  <c r="J142" i="2"/>
  <c r="I142" i="2"/>
  <c r="H142" i="2"/>
  <c r="O141" i="2"/>
  <c r="N141" i="2"/>
  <c r="M141" i="2"/>
  <c r="L141" i="2"/>
  <c r="K141" i="2"/>
  <c r="J141" i="2"/>
  <c r="I141" i="2"/>
  <c r="H141" i="2"/>
  <c r="O140" i="2"/>
  <c r="N140" i="2"/>
  <c r="M140" i="2"/>
  <c r="L140" i="2"/>
  <c r="K140" i="2"/>
  <c r="J140" i="2"/>
  <c r="I140" i="2"/>
  <c r="H140" i="2"/>
  <c r="O139" i="2"/>
  <c r="N139" i="2"/>
  <c r="M139" i="2"/>
  <c r="L139" i="2"/>
  <c r="K139" i="2"/>
  <c r="J139" i="2"/>
  <c r="I139" i="2"/>
  <c r="H139" i="2"/>
  <c r="O138" i="2"/>
  <c r="N138" i="2"/>
  <c r="M138" i="2"/>
  <c r="L138" i="2"/>
  <c r="K138" i="2"/>
  <c r="J138" i="2"/>
  <c r="I138" i="2"/>
  <c r="H138" i="2"/>
  <c r="O137" i="2"/>
  <c r="N137" i="2"/>
  <c r="M137" i="2"/>
  <c r="L137" i="2"/>
  <c r="K137" i="2"/>
  <c r="J137" i="2"/>
  <c r="I137" i="2"/>
  <c r="H137" i="2"/>
  <c r="O136" i="2"/>
  <c r="N136" i="2"/>
  <c r="M136" i="2"/>
  <c r="L136" i="2"/>
  <c r="K136" i="2"/>
  <c r="J136" i="2"/>
  <c r="I136" i="2"/>
  <c r="H136" i="2"/>
  <c r="O135" i="2"/>
  <c r="N135" i="2"/>
  <c r="M135" i="2"/>
  <c r="L135" i="2"/>
  <c r="K135" i="2"/>
  <c r="J135" i="2"/>
  <c r="I135" i="2"/>
  <c r="H135" i="2"/>
  <c r="O134" i="2"/>
  <c r="N134" i="2"/>
  <c r="M134" i="2"/>
  <c r="L134" i="2"/>
  <c r="K134" i="2"/>
  <c r="J134" i="2"/>
  <c r="I134" i="2"/>
  <c r="H134" i="2"/>
  <c r="O133" i="2"/>
  <c r="N133" i="2"/>
  <c r="M133" i="2"/>
  <c r="L133" i="2"/>
  <c r="K133" i="2"/>
  <c r="J133" i="2"/>
  <c r="I133" i="2"/>
  <c r="H133" i="2"/>
  <c r="O132" i="2"/>
  <c r="N132" i="2"/>
  <c r="M132" i="2"/>
  <c r="L132" i="2"/>
  <c r="K132" i="2"/>
  <c r="J132" i="2"/>
  <c r="I132" i="2"/>
  <c r="H132" i="2"/>
  <c r="O131" i="2"/>
  <c r="N131" i="2"/>
  <c r="M131" i="2"/>
  <c r="L131" i="2"/>
  <c r="K131" i="2"/>
  <c r="J131" i="2"/>
  <c r="I131" i="2"/>
  <c r="H131" i="2"/>
  <c r="O130" i="2"/>
  <c r="N130" i="2"/>
  <c r="M130" i="2"/>
  <c r="L130" i="2"/>
  <c r="K130" i="2"/>
  <c r="J130" i="2"/>
  <c r="I130" i="2"/>
  <c r="H130" i="2"/>
  <c r="O129" i="2"/>
  <c r="N129" i="2"/>
  <c r="M129" i="2"/>
  <c r="L129" i="2"/>
  <c r="K129" i="2"/>
  <c r="J129" i="2"/>
  <c r="I129" i="2"/>
  <c r="H129" i="2"/>
  <c r="O128" i="2"/>
  <c r="N128" i="2"/>
  <c r="M128" i="2"/>
  <c r="L128" i="2"/>
  <c r="K128" i="2"/>
  <c r="J128" i="2"/>
  <c r="I128" i="2"/>
  <c r="H128" i="2"/>
  <c r="O127" i="2"/>
  <c r="N127" i="2"/>
  <c r="M127" i="2"/>
  <c r="L127" i="2"/>
  <c r="K127" i="2"/>
  <c r="J127" i="2"/>
  <c r="I127" i="2"/>
  <c r="H127" i="2"/>
  <c r="O126" i="2"/>
  <c r="N126" i="2"/>
  <c r="M126" i="2"/>
  <c r="L126" i="2"/>
  <c r="K126" i="2"/>
  <c r="J126" i="2"/>
  <c r="I126" i="2"/>
  <c r="H126" i="2"/>
  <c r="O125" i="2"/>
  <c r="N125" i="2"/>
  <c r="M125" i="2"/>
  <c r="L125" i="2"/>
  <c r="K125" i="2"/>
  <c r="J125" i="2"/>
  <c r="I125" i="2"/>
  <c r="H125" i="2"/>
  <c r="O124" i="2"/>
  <c r="N124" i="2"/>
  <c r="M124" i="2"/>
  <c r="L124" i="2"/>
  <c r="K124" i="2"/>
  <c r="J124" i="2"/>
  <c r="I124" i="2"/>
  <c r="H124" i="2"/>
  <c r="O123" i="2"/>
  <c r="N123" i="2"/>
  <c r="M123" i="2"/>
  <c r="L123" i="2"/>
  <c r="K123" i="2"/>
  <c r="J123" i="2"/>
  <c r="I123" i="2"/>
  <c r="H123" i="2"/>
  <c r="O122" i="2"/>
  <c r="N122" i="2"/>
  <c r="M122" i="2"/>
  <c r="L122" i="2"/>
  <c r="K122" i="2"/>
  <c r="J122" i="2"/>
  <c r="I122" i="2"/>
  <c r="H122" i="2"/>
  <c r="O121" i="2"/>
  <c r="N121" i="2"/>
  <c r="M121" i="2"/>
  <c r="L121" i="2"/>
  <c r="K121" i="2"/>
  <c r="J121" i="2"/>
  <c r="I121" i="2"/>
  <c r="H121" i="2"/>
  <c r="O120" i="2"/>
  <c r="N120" i="2"/>
  <c r="M120" i="2"/>
  <c r="L120" i="2"/>
  <c r="K120" i="2"/>
  <c r="J120" i="2"/>
  <c r="I120" i="2"/>
  <c r="H120" i="2"/>
  <c r="O119" i="2"/>
  <c r="N119" i="2"/>
  <c r="M119" i="2"/>
  <c r="L119" i="2"/>
  <c r="K119" i="2"/>
  <c r="J119" i="2"/>
  <c r="I119" i="2"/>
  <c r="H119" i="2"/>
  <c r="O118" i="2"/>
  <c r="N118" i="2"/>
  <c r="M118" i="2"/>
  <c r="L118" i="2"/>
  <c r="K118" i="2"/>
  <c r="J118" i="2"/>
  <c r="I118" i="2"/>
  <c r="H118" i="2"/>
  <c r="O117" i="2"/>
  <c r="N117" i="2"/>
  <c r="M117" i="2"/>
  <c r="L117" i="2"/>
  <c r="K117" i="2"/>
  <c r="J117" i="2"/>
  <c r="I117" i="2"/>
  <c r="H117" i="2"/>
  <c r="O116" i="2"/>
  <c r="N116" i="2"/>
  <c r="M116" i="2"/>
  <c r="L116" i="2"/>
  <c r="K116" i="2"/>
  <c r="J116" i="2"/>
  <c r="I116" i="2"/>
  <c r="H116" i="2"/>
  <c r="O115" i="2"/>
  <c r="N115" i="2"/>
  <c r="M115" i="2"/>
  <c r="L115" i="2"/>
  <c r="K115" i="2"/>
  <c r="J115" i="2"/>
  <c r="I115" i="2"/>
  <c r="H115" i="2"/>
  <c r="O114" i="2"/>
  <c r="N114" i="2"/>
  <c r="M114" i="2"/>
  <c r="L114" i="2"/>
  <c r="K114" i="2"/>
  <c r="J114" i="2"/>
  <c r="I114" i="2"/>
  <c r="H114" i="2"/>
  <c r="O113" i="2"/>
  <c r="N113" i="2"/>
  <c r="M113" i="2"/>
  <c r="L113" i="2"/>
  <c r="K113" i="2"/>
  <c r="J113" i="2"/>
  <c r="I113" i="2"/>
  <c r="H113" i="2"/>
  <c r="O112" i="2"/>
  <c r="N112" i="2"/>
  <c r="M112" i="2"/>
  <c r="L112" i="2"/>
  <c r="K112" i="2"/>
  <c r="J112" i="2"/>
  <c r="I112" i="2"/>
  <c r="H112" i="2"/>
  <c r="O111" i="2"/>
  <c r="N111" i="2"/>
  <c r="M111" i="2"/>
  <c r="L111" i="2"/>
  <c r="K111" i="2"/>
  <c r="J111" i="2"/>
  <c r="I111" i="2"/>
  <c r="H111" i="2"/>
  <c r="O110" i="2"/>
  <c r="N110" i="2"/>
  <c r="M110" i="2"/>
  <c r="L110" i="2"/>
  <c r="K110" i="2"/>
  <c r="J110" i="2"/>
  <c r="I110" i="2"/>
  <c r="H110" i="2"/>
  <c r="O109" i="2"/>
  <c r="N109" i="2"/>
  <c r="M109" i="2"/>
  <c r="L109" i="2"/>
  <c r="K109" i="2"/>
  <c r="J109" i="2"/>
  <c r="I109" i="2"/>
  <c r="H109" i="2"/>
  <c r="O108" i="2"/>
  <c r="N108" i="2"/>
  <c r="M108" i="2"/>
  <c r="L108" i="2"/>
  <c r="K108" i="2"/>
  <c r="J108" i="2"/>
  <c r="I108" i="2"/>
  <c r="H108" i="2"/>
  <c r="O107" i="2"/>
  <c r="N107" i="2"/>
  <c r="M107" i="2"/>
  <c r="L107" i="2"/>
  <c r="K107" i="2"/>
  <c r="J107" i="2"/>
  <c r="I107" i="2"/>
  <c r="H107" i="2"/>
  <c r="O106" i="2"/>
  <c r="N106" i="2"/>
  <c r="M106" i="2"/>
  <c r="L106" i="2"/>
  <c r="K106" i="2"/>
  <c r="J106" i="2"/>
  <c r="I106" i="2"/>
  <c r="H106" i="2"/>
  <c r="O105" i="2"/>
  <c r="N105" i="2"/>
  <c r="M105" i="2"/>
  <c r="L105" i="2"/>
  <c r="K105" i="2"/>
  <c r="J105" i="2"/>
  <c r="I105" i="2"/>
  <c r="H105" i="2"/>
  <c r="O104" i="2"/>
  <c r="N104" i="2"/>
  <c r="M104" i="2"/>
  <c r="L104" i="2"/>
  <c r="K104" i="2"/>
  <c r="J104" i="2"/>
  <c r="I104" i="2"/>
  <c r="H104" i="2"/>
  <c r="O103" i="2"/>
  <c r="N103" i="2"/>
  <c r="M103" i="2"/>
  <c r="L103" i="2"/>
  <c r="K103" i="2"/>
  <c r="J103" i="2"/>
  <c r="I103" i="2"/>
  <c r="H103" i="2"/>
  <c r="O102" i="2"/>
  <c r="N102" i="2"/>
  <c r="M102" i="2"/>
  <c r="L102" i="2"/>
  <c r="K102" i="2"/>
  <c r="J102" i="2"/>
  <c r="I102" i="2"/>
  <c r="H102" i="2"/>
  <c r="O101" i="2"/>
  <c r="N101" i="2"/>
  <c r="M101" i="2"/>
  <c r="L101" i="2"/>
  <c r="K101" i="2"/>
  <c r="J101" i="2"/>
  <c r="I101" i="2"/>
  <c r="H101" i="2"/>
  <c r="O100" i="2"/>
  <c r="N100" i="2"/>
  <c r="M100" i="2"/>
  <c r="L100" i="2"/>
  <c r="K100" i="2"/>
  <c r="J100" i="2"/>
  <c r="I100" i="2"/>
  <c r="H100" i="2"/>
  <c r="O99" i="2"/>
  <c r="N99" i="2"/>
  <c r="M99" i="2"/>
  <c r="L99" i="2"/>
  <c r="K99" i="2"/>
  <c r="J99" i="2"/>
  <c r="I99" i="2"/>
  <c r="H99" i="2"/>
  <c r="O98" i="2"/>
  <c r="N98" i="2"/>
  <c r="M98" i="2"/>
  <c r="L98" i="2"/>
  <c r="K98" i="2"/>
  <c r="J98" i="2"/>
  <c r="I98" i="2"/>
  <c r="H98" i="2"/>
  <c r="O97" i="2"/>
  <c r="N97" i="2"/>
  <c r="M97" i="2"/>
  <c r="L97" i="2"/>
  <c r="K97" i="2"/>
  <c r="J97" i="2"/>
  <c r="I97" i="2"/>
  <c r="H97" i="2"/>
  <c r="O96" i="2"/>
  <c r="N96" i="2"/>
  <c r="M96" i="2"/>
  <c r="L96" i="2"/>
  <c r="K96" i="2"/>
  <c r="J96" i="2"/>
  <c r="I96" i="2"/>
  <c r="H96" i="2"/>
  <c r="O95" i="2"/>
  <c r="N95" i="2"/>
  <c r="M95" i="2"/>
  <c r="L95" i="2"/>
  <c r="K95" i="2"/>
  <c r="J95" i="2"/>
  <c r="I95" i="2"/>
  <c r="H95" i="2"/>
  <c r="O94" i="2"/>
  <c r="N94" i="2"/>
  <c r="M94" i="2"/>
  <c r="L94" i="2"/>
  <c r="K94" i="2"/>
  <c r="J94" i="2"/>
  <c r="I94" i="2"/>
  <c r="H94" i="2"/>
  <c r="O93" i="2"/>
  <c r="N93" i="2"/>
  <c r="M93" i="2"/>
  <c r="L93" i="2"/>
  <c r="K93" i="2"/>
  <c r="J93" i="2"/>
  <c r="I93" i="2"/>
  <c r="H93" i="2"/>
  <c r="O92" i="2"/>
  <c r="N92" i="2"/>
  <c r="M92" i="2"/>
  <c r="L92" i="2"/>
  <c r="K92" i="2"/>
  <c r="J92" i="2"/>
  <c r="I92" i="2"/>
  <c r="H92" i="2"/>
  <c r="O91" i="2"/>
  <c r="N91" i="2"/>
  <c r="M91" i="2"/>
  <c r="L91" i="2"/>
  <c r="K91" i="2"/>
  <c r="J91" i="2"/>
  <c r="I91" i="2"/>
  <c r="H91" i="2"/>
  <c r="O90" i="2"/>
  <c r="N90" i="2"/>
  <c r="M90" i="2"/>
  <c r="L90" i="2"/>
  <c r="K90" i="2"/>
  <c r="J90" i="2"/>
  <c r="I90" i="2"/>
  <c r="H90" i="2"/>
  <c r="O89" i="2"/>
  <c r="N89" i="2"/>
  <c r="M89" i="2"/>
  <c r="L89" i="2"/>
  <c r="K89" i="2"/>
  <c r="J89" i="2"/>
  <c r="I89" i="2"/>
  <c r="H89" i="2"/>
  <c r="O88" i="2"/>
  <c r="N88" i="2"/>
  <c r="M88" i="2"/>
  <c r="L88" i="2"/>
  <c r="K88" i="2"/>
  <c r="J88" i="2"/>
  <c r="I88" i="2"/>
  <c r="H88" i="2"/>
  <c r="O87" i="2"/>
  <c r="N87" i="2"/>
  <c r="M87" i="2"/>
  <c r="L87" i="2"/>
  <c r="K87" i="2"/>
  <c r="J87" i="2"/>
  <c r="I87" i="2"/>
  <c r="H87" i="2"/>
  <c r="O86" i="2"/>
  <c r="N86" i="2"/>
  <c r="M86" i="2"/>
  <c r="L86" i="2"/>
  <c r="K86" i="2"/>
  <c r="J86" i="2"/>
  <c r="I86" i="2"/>
  <c r="H86" i="2"/>
  <c r="O85" i="2"/>
  <c r="N85" i="2"/>
  <c r="M85" i="2"/>
  <c r="L85" i="2"/>
  <c r="K85" i="2"/>
  <c r="J85" i="2"/>
  <c r="I85" i="2"/>
  <c r="H85" i="2"/>
  <c r="O84" i="2"/>
  <c r="N84" i="2"/>
  <c r="M84" i="2"/>
  <c r="L84" i="2"/>
  <c r="K84" i="2"/>
  <c r="J84" i="2"/>
  <c r="I84" i="2"/>
  <c r="H84" i="2"/>
  <c r="O83" i="2"/>
  <c r="N83" i="2"/>
  <c r="M83" i="2"/>
  <c r="L83" i="2"/>
  <c r="K83" i="2"/>
  <c r="J83" i="2"/>
  <c r="I83" i="2"/>
  <c r="H83" i="2"/>
  <c r="O82" i="2"/>
  <c r="N82" i="2"/>
  <c r="M82" i="2"/>
  <c r="L82" i="2"/>
  <c r="K82" i="2"/>
  <c r="J82" i="2"/>
  <c r="I82" i="2"/>
  <c r="H82" i="2"/>
  <c r="O81" i="2"/>
  <c r="N81" i="2"/>
  <c r="M81" i="2"/>
  <c r="L81" i="2"/>
  <c r="K81" i="2"/>
  <c r="J81" i="2"/>
  <c r="I81" i="2"/>
  <c r="H81" i="2"/>
  <c r="O80" i="2"/>
  <c r="N80" i="2"/>
  <c r="M80" i="2"/>
  <c r="L80" i="2"/>
  <c r="K80" i="2"/>
  <c r="J80" i="2"/>
  <c r="I80" i="2"/>
  <c r="H80" i="2"/>
  <c r="O79" i="2"/>
  <c r="N79" i="2"/>
  <c r="M79" i="2"/>
  <c r="L79" i="2"/>
  <c r="K79" i="2"/>
  <c r="J79" i="2"/>
  <c r="I79" i="2"/>
  <c r="H79" i="2"/>
  <c r="O78" i="2"/>
  <c r="N78" i="2"/>
  <c r="M78" i="2"/>
  <c r="L78" i="2"/>
  <c r="K78" i="2"/>
  <c r="J78" i="2"/>
  <c r="I78" i="2"/>
  <c r="H78" i="2"/>
  <c r="O77" i="2"/>
  <c r="N77" i="2"/>
  <c r="M77" i="2"/>
  <c r="L77" i="2"/>
  <c r="K77" i="2"/>
  <c r="J77" i="2"/>
  <c r="I77" i="2"/>
  <c r="H77" i="2"/>
  <c r="O76" i="2"/>
  <c r="N76" i="2"/>
  <c r="M76" i="2"/>
  <c r="L76" i="2"/>
  <c r="K76" i="2"/>
  <c r="J76" i="2"/>
  <c r="I76" i="2"/>
  <c r="H76" i="2"/>
  <c r="O75" i="2"/>
  <c r="N75" i="2"/>
  <c r="M75" i="2"/>
  <c r="L75" i="2"/>
  <c r="K75" i="2"/>
  <c r="J75" i="2"/>
  <c r="I75" i="2"/>
  <c r="H75" i="2"/>
  <c r="O74" i="2"/>
  <c r="N74" i="2"/>
  <c r="M74" i="2"/>
  <c r="L74" i="2"/>
  <c r="K74" i="2"/>
  <c r="J74" i="2"/>
  <c r="I74" i="2"/>
  <c r="H74" i="2"/>
  <c r="O73" i="2"/>
  <c r="N73" i="2"/>
  <c r="M73" i="2"/>
  <c r="L73" i="2"/>
  <c r="K73" i="2"/>
  <c r="J73" i="2"/>
  <c r="I73" i="2"/>
  <c r="H73" i="2"/>
  <c r="O72" i="2"/>
  <c r="N72" i="2"/>
  <c r="M72" i="2"/>
  <c r="L72" i="2"/>
  <c r="K72" i="2"/>
  <c r="J72" i="2"/>
  <c r="I72" i="2"/>
  <c r="H72" i="2"/>
  <c r="O71" i="2"/>
  <c r="N71" i="2"/>
  <c r="M71" i="2"/>
  <c r="L71" i="2"/>
  <c r="K71" i="2"/>
  <c r="J71" i="2"/>
  <c r="I71" i="2"/>
  <c r="H71" i="2"/>
  <c r="O70" i="2"/>
  <c r="N70" i="2"/>
  <c r="M70" i="2"/>
  <c r="L70" i="2"/>
  <c r="K70" i="2"/>
  <c r="J70" i="2"/>
  <c r="I70" i="2"/>
  <c r="H70" i="2"/>
  <c r="O69" i="2"/>
  <c r="N69" i="2"/>
  <c r="M69" i="2"/>
  <c r="L69" i="2"/>
  <c r="K69" i="2"/>
  <c r="J69" i="2"/>
  <c r="I69" i="2"/>
  <c r="H69" i="2"/>
  <c r="O68" i="2"/>
  <c r="N68" i="2"/>
  <c r="M68" i="2"/>
  <c r="L68" i="2"/>
  <c r="K68" i="2"/>
  <c r="J68" i="2"/>
  <c r="I68" i="2"/>
  <c r="H68" i="2"/>
  <c r="O67" i="2"/>
  <c r="N67" i="2"/>
  <c r="M67" i="2"/>
  <c r="L67" i="2"/>
  <c r="K67" i="2"/>
  <c r="J67" i="2"/>
  <c r="I67" i="2"/>
  <c r="H67" i="2"/>
  <c r="O66" i="2"/>
  <c r="N66" i="2"/>
  <c r="M66" i="2"/>
  <c r="L66" i="2"/>
  <c r="K66" i="2"/>
  <c r="J66" i="2"/>
  <c r="I66" i="2"/>
  <c r="H66" i="2"/>
  <c r="O65" i="2"/>
  <c r="N65" i="2"/>
  <c r="M65" i="2"/>
  <c r="L65" i="2"/>
  <c r="K65" i="2"/>
  <c r="J65" i="2"/>
  <c r="I65" i="2"/>
  <c r="H65" i="2"/>
  <c r="O64" i="2"/>
  <c r="N64" i="2"/>
  <c r="M64" i="2"/>
  <c r="L64" i="2"/>
  <c r="K64" i="2"/>
  <c r="J64" i="2"/>
  <c r="I64" i="2"/>
  <c r="H64" i="2"/>
  <c r="O63" i="2"/>
  <c r="N63" i="2"/>
  <c r="M63" i="2"/>
  <c r="L63" i="2"/>
  <c r="K63" i="2"/>
  <c r="J63" i="2"/>
  <c r="I63" i="2"/>
  <c r="H63" i="2"/>
  <c r="O62" i="2"/>
  <c r="N62" i="2"/>
  <c r="M62" i="2"/>
  <c r="L62" i="2"/>
  <c r="K62" i="2"/>
  <c r="J62" i="2"/>
  <c r="I62" i="2"/>
  <c r="H62" i="2"/>
  <c r="O61" i="2"/>
  <c r="N61" i="2"/>
  <c r="M61" i="2"/>
  <c r="L61" i="2"/>
  <c r="K61" i="2"/>
  <c r="J61" i="2"/>
  <c r="I61" i="2"/>
  <c r="H61" i="2"/>
  <c r="O60" i="2"/>
  <c r="N60" i="2"/>
  <c r="M60" i="2"/>
  <c r="L60" i="2"/>
  <c r="K60" i="2"/>
  <c r="J60" i="2"/>
  <c r="I60" i="2"/>
  <c r="H60" i="2"/>
  <c r="O59" i="2"/>
  <c r="N59" i="2"/>
  <c r="M59" i="2"/>
  <c r="L59" i="2"/>
  <c r="K59" i="2"/>
  <c r="J59" i="2"/>
  <c r="I59" i="2"/>
  <c r="H59" i="2"/>
  <c r="O58" i="2"/>
  <c r="N58" i="2"/>
  <c r="M58" i="2"/>
  <c r="L58" i="2"/>
  <c r="K58" i="2"/>
  <c r="J58" i="2"/>
  <c r="I58" i="2"/>
  <c r="H58" i="2"/>
  <c r="O57" i="2"/>
  <c r="N57" i="2"/>
  <c r="M57" i="2"/>
  <c r="L57" i="2"/>
  <c r="K57" i="2"/>
  <c r="J57" i="2"/>
  <c r="I57" i="2"/>
  <c r="H57" i="2"/>
  <c r="O56" i="2"/>
  <c r="N56" i="2"/>
  <c r="M56" i="2"/>
  <c r="L56" i="2"/>
  <c r="K56" i="2"/>
  <c r="J56" i="2"/>
  <c r="I56" i="2"/>
  <c r="H56" i="2"/>
  <c r="O55" i="2"/>
  <c r="N55" i="2"/>
  <c r="M55" i="2"/>
  <c r="L55" i="2"/>
  <c r="K55" i="2"/>
  <c r="J55" i="2"/>
  <c r="I55" i="2"/>
  <c r="H55" i="2"/>
  <c r="O54" i="2"/>
  <c r="N54" i="2"/>
  <c r="M54" i="2"/>
  <c r="L54" i="2"/>
  <c r="K54" i="2"/>
  <c r="J54" i="2"/>
  <c r="I54" i="2"/>
  <c r="H54" i="2"/>
  <c r="O53" i="2"/>
  <c r="N53" i="2"/>
  <c r="M53" i="2"/>
  <c r="L53" i="2"/>
  <c r="K53" i="2"/>
  <c r="J53" i="2"/>
  <c r="I53" i="2"/>
  <c r="H53" i="2"/>
  <c r="O52" i="2"/>
  <c r="N52" i="2"/>
  <c r="M52" i="2"/>
  <c r="L52" i="2"/>
  <c r="K52" i="2"/>
  <c r="J52" i="2"/>
  <c r="I52" i="2"/>
  <c r="H52" i="2"/>
  <c r="O51" i="2"/>
  <c r="N51" i="2"/>
  <c r="M51" i="2"/>
  <c r="L51" i="2"/>
  <c r="K51" i="2"/>
  <c r="J51" i="2"/>
  <c r="I51" i="2"/>
  <c r="H51" i="2"/>
  <c r="O50" i="2"/>
  <c r="N50" i="2"/>
  <c r="M50" i="2"/>
  <c r="L50" i="2"/>
  <c r="K50" i="2"/>
  <c r="J50" i="2"/>
  <c r="I50" i="2"/>
  <c r="H50" i="2"/>
  <c r="O49" i="2"/>
  <c r="N49" i="2"/>
  <c r="M49" i="2"/>
  <c r="L49" i="2"/>
  <c r="K49" i="2"/>
  <c r="J49" i="2"/>
  <c r="I49" i="2"/>
  <c r="H49" i="2"/>
  <c r="O48" i="2"/>
  <c r="N48" i="2"/>
  <c r="M48" i="2"/>
  <c r="L48" i="2"/>
  <c r="K48" i="2"/>
  <c r="J48" i="2"/>
  <c r="I48" i="2"/>
  <c r="H48" i="2"/>
  <c r="O47" i="2"/>
  <c r="N47" i="2"/>
  <c r="M47" i="2"/>
  <c r="L47" i="2"/>
  <c r="K47" i="2"/>
  <c r="J47" i="2"/>
  <c r="I47" i="2"/>
  <c r="H47" i="2"/>
  <c r="O46" i="2"/>
  <c r="N46" i="2"/>
  <c r="M46" i="2"/>
  <c r="L46" i="2"/>
  <c r="K46" i="2"/>
  <c r="J46" i="2"/>
  <c r="I46" i="2"/>
  <c r="H46" i="2"/>
  <c r="O45" i="2"/>
  <c r="N45" i="2"/>
  <c r="M45" i="2"/>
  <c r="L45" i="2"/>
  <c r="K45" i="2"/>
  <c r="J45" i="2"/>
  <c r="I45" i="2"/>
  <c r="H45" i="2"/>
  <c r="O44" i="2"/>
  <c r="N44" i="2"/>
  <c r="M44" i="2"/>
  <c r="L44" i="2"/>
  <c r="K44" i="2"/>
  <c r="J44" i="2"/>
  <c r="I44" i="2"/>
  <c r="H44" i="2"/>
  <c r="O43" i="2"/>
  <c r="N43" i="2"/>
  <c r="M43" i="2"/>
  <c r="L43" i="2"/>
  <c r="K43" i="2"/>
  <c r="J43" i="2"/>
  <c r="I43" i="2"/>
  <c r="H43" i="2"/>
  <c r="O42" i="2"/>
  <c r="N42" i="2"/>
  <c r="M42" i="2"/>
  <c r="L42" i="2"/>
  <c r="K42" i="2"/>
  <c r="J42" i="2"/>
  <c r="I42" i="2"/>
  <c r="H42" i="2"/>
  <c r="O41" i="2"/>
  <c r="N41" i="2"/>
  <c r="M41" i="2"/>
  <c r="L41" i="2"/>
  <c r="K41" i="2"/>
  <c r="J41" i="2"/>
  <c r="I41" i="2"/>
  <c r="H41" i="2"/>
  <c r="O40" i="2"/>
  <c r="N40" i="2"/>
  <c r="M40" i="2"/>
  <c r="L40" i="2"/>
  <c r="K40" i="2"/>
  <c r="J40" i="2"/>
  <c r="I40" i="2"/>
  <c r="H40" i="2"/>
  <c r="O39" i="2"/>
  <c r="N39" i="2"/>
  <c r="M39" i="2"/>
  <c r="L39" i="2"/>
  <c r="K39" i="2"/>
  <c r="J39" i="2"/>
  <c r="I39" i="2"/>
  <c r="H39" i="2"/>
  <c r="O38" i="2"/>
  <c r="N38" i="2"/>
  <c r="M38" i="2"/>
  <c r="L38" i="2"/>
  <c r="K38" i="2"/>
  <c r="J38" i="2"/>
  <c r="I38" i="2"/>
  <c r="H38" i="2"/>
  <c r="O37" i="2"/>
  <c r="N37" i="2"/>
  <c r="M37" i="2"/>
  <c r="L37" i="2"/>
  <c r="K37" i="2"/>
  <c r="J37" i="2"/>
  <c r="I37" i="2"/>
  <c r="H37" i="2"/>
  <c r="O36" i="2"/>
  <c r="N36" i="2"/>
  <c r="M36" i="2"/>
  <c r="L36" i="2"/>
  <c r="K36" i="2"/>
  <c r="J36" i="2"/>
  <c r="I36" i="2"/>
  <c r="H36" i="2"/>
  <c r="O35" i="2"/>
  <c r="N35" i="2"/>
  <c r="M35" i="2"/>
  <c r="L35" i="2"/>
  <c r="K35" i="2"/>
  <c r="J35" i="2"/>
  <c r="I35" i="2"/>
  <c r="H35" i="2"/>
  <c r="O34" i="2"/>
  <c r="N34" i="2"/>
  <c r="M34" i="2"/>
  <c r="L34" i="2"/>
  <c r="K34" i="2"/>
  <c r="J34" i="2"/>
  <c r="I34" i="2"/>
  <c r="H34" i="2"/>
  <c r="O33" i="2"/>
  <c r="N33" i="2"/>
  <c r="M33" i="2"/>
  <c r="L33" i="2"/>
  <c r="K33" i="2"/>
  <c r="J33" i="2"/>
  <c r="I33" i="2"/>
  <c r="H33" i="2"/>
  <c r="O32" i="2"/>
  <c r="N32" i="2"/>
  <c r="M32" i="2"/>
  <c r="L32" i="2"/>
  <c r="K32" i="2"/>
  <c r="J32" i="2"/>
  <c r="I32" i="2"/>
  <c r="H32" i="2"/>
  <c r="O31" i="2"/>
  <c r="N31" i="2"/>
  <c r="M31" i="2"/>
  <c r="L31" i="2"/>
  <c r="K31" i="2"/>
  <c r="J31" i="2"/>
  <c r="I31" i="2"/>
  <c r="H31" i="2"/>
  <c r="O30" i="2"/>
  <c r="N30" i="2"/>
  <c r="M30" i="2"/>
  <c r="L30" i="2"/>
  <c r="K30" i="2"/>
  <c r="J30" i="2"/>
  <c r="I30" i="2"/>
  <c r="H30" i="2"/>
  <c r="O29" i="2"/>
  <c r="N29" i="2"/>
  <c r="M29" i="2"/>
  <c r="L29" i="2"/>
  <c r="K29" i="2"/>
  <c r="J29" i="2"/>
  <c r="I29" i="2"/>
  <c r="H29" i="2"/>
  <c r="O28" i="2"/>
  <c r="N28" i="2"/>
  <c r="M28" i="2"/>
  <c r="L28" i="2"/>
  <c r="K28" i="2"/>
  <c r="J28" i="2"/>
  <c r="I28" i="2"/>
  <c r="H28" i="2"/>
  <c r="O27" i="2"/>
  <c r="N27" i="2"/>
  <c r="M27" i="2"/>
  <c r="L27" i="2"/>
  <c r="K27" i="2"/>
  <c r="J27" i="2"/>
  <c r="I27" i="2"/>
  <c r="H27" i="2"/>
  <c r="O26" i="2"/>
  <c r="N26" i="2"/>
  <c r="M26" i="2"/>
  <c r="L26" i="2"/>
  <c r="K26" i="2"/>
  <c r="J26" i="2"/>
  <c r="I26" i="2"/>
  <c r="H26" i="2"/>
  <c r="O25" i="2"/>
  <c r="N25" i="2"/>
  <c r="M25" i="2"/>
  <c r="L25" i="2"/>
  <c r="K25" i="2"/>
  <c r="J25" i="2"/>
  <c r="I25" i="2"/>
  <c r="H25" i="2"/>
  <c r="O24" i="2"/>
  <c r="N24" i="2"/>
  <c r="M24" i="2"/>
  <c r="L24" i="2"/>
  <c r="K24" i="2"/>
  <c r="J24" i="2"/>
  <c r="I24" i="2"/>
  <c r="H24" i="2"/>
  <c r="O23" i="2"/>
  <c r="N23" i="2"/>
  <c r="M23" i="2"/>
  <c r="L23" i="2"/>
  <c r="K23" i="2"/>
  <c r="J23" i="2"/>
  <c r="I23" i="2"/>
  <c r="H23" i="2"/>
  <c r="O22" i="2"/>
  <c r="N22" i="2"/>
  <c r="M22" i="2"/>
  <c r="L22" i="2"/>
  <c r="K22" i="2"/>
  <c r="J22" i="2"/>
  <c r="I22" i="2"/>
  <c r="H22" i="2"/>
  <c r="O21" i="2"/>
  <c r="N21" i="2"/>
  <c r="M21" i="2"/>
  <c r="L21" i="2"/>
  <c r="K21" i="2"/>
  <c r="J21" i="2"/>
  <c r="I21" i="2"/>
  <c r="H21" i="2"/>
  <c r="O20" i="2"/>
  <c r="N20" i="2"/>
  <c r="M20" i="2"/>
  <c r="L20" i="2"/>
  <c r="K20" i="2"/>
  <c r="J20" i="2"/>
  <c r="I20" i="2"/>
  <c r="H20" i="2"/>
  <c r="O19" i="2"/>
  <c r="N19" i="2"/>
  <c r="M19" i="2"/>
  <c r="L19" i="2"/>
  <c r="K19" i="2"/>
  <c r="J19" i="2"/>
  <c r="I19" i="2"/>
  <c r="H19" i="2"/>
  <c r="O18" i="2"/>
  <c r="N18" i="2"/>
  <c r="M18" i="2"/>
  <c r="L18" i="2"/>
  <c r="K18" i="2"/>
  <c r="J18" i="2"/>
  <c r="I18" i="2"/>
  <c r="H18" i="2"/>
  <c r="O17" i="2"/>
  <c r="N17" i="2"/>
  <c r="M17" i="2"/>
  <c r="L17" i="2"/>
  <c r="K17" i="2"/>
  <c r="J17" i="2"/>
  <c r="I17" i="2"/>
  <c r="H17" i="2"/>
  <c r="O16" i="2"/>
  <c r="N16" i="2"/>
  <c r="M16" i="2"/>
  <c r="L16" i="2"/>
  <c r="K16" i="2"/>
  <c r="J16" i="2"/>
  <c r="I16" i="2"/>
  <c r="H16" i="2"/>
  <c r="O15" i="2"/>
  <c r="N15" i="2"/>
  <c r="M15" i="2"/>
  <c r="L15" i="2"/>
  <c r="K15" i="2"/>
  <c r="J15" i="2"/>
  <c r="I15" i="2"/>
  <c r="H15" i="2"/>
  <c r="O14" i="2"/>
  <c r="N14" i="2"/>
  <c r="M14" i="2"/>
  <c r="L14" i="2"/>
  <c r="K14" i="2"/>
  <c r="J14" i="2"/>
  <c r="I14" i="2"/>
  <c r="H14" i="2"/>
  <c r="O13" i="2"/>
  <c r="N13" i="2"/>
  <c r="M13" i="2"/>
  <c r="L13" i="2"/>
  <c r="K13" i="2"/>
  <c r="J13" i="2"/>
  <c r="I13" i="2"/>
  <c r="H13" i="2"/>
  <c r="O12" i="2"/>
  <c r="N12" i="2"/>
  <c r="M12" i="2"/>
  <c r="L12" i="2"/>
  <c r="K12" i="2"/>
  <c r="J12" i="2"/>
  <c r="I12" i="2"/>
  <c r="H12" i="2"/>
  <c r="O11" i="2"/>
  <c r="N11" i="2"/>
  <c r="M11" i="2"/>
  <c r="L11" i="2"/>
  <c r="K11" i="2"/>
  <c r="J11" i="2"/>
  <c r="I11" i="2"/>
  <c r="H11" i="2"/>
  <c r="O10" i="2"/>
  <c r="N10" i="2"/>
  <c r="M10" i="2"/>
  <c r="L10" i="2"/>
  <c r="K10" i="2"/>
  <c r="J10" i="2"/>
  <c r="I10" i="2"/>
  <c r="H10" i="2"/>
  <c r="O9" i="2"/>
  <c r="N9" i="2"/>
  <c r="M9" i="2"/>
  <c r="L9" i="2"/>
  <c r="K9" i="2"/>
  <c r="J9" i="2"/>
  <c r="I9" i="2"/>
  <c r="H9" i="2"/>
  <c r="O8" i="2"/>
  <c r="N8" i="2"/>
  <c r="M8" i="2"/>
  <c r="L8" i="2"/>
  <c r="K8" i="2"/>
  <c r="J8" i="2"/>
  <c r="I8" i="2"/>
  <c r="H8" i="2"/>
  <c r="O7" i="2"/>
  <c r="N7" i="2"/>
  <c r="M7" i="2"/>
  <c r="L7" i="2"/>
  <c r="K7" i="2"/>
  <c r="J7" i="2"/>
  <c r="I7" i="2"/>
  <c r="H7" i="2"/>
  <c r="O6" i="2"/>
  <c r="N6" i="2"/>
  <c r="M6" i="2"/>
  <c r="L6" i="2"/>
  <c r="K6" i="2"/>
  <c r="J6" i="2"/>
  <c r="I6" i="2"/>
  <c r="H6" i="2"/>
  <c r="O5" i="2"/>
  <c r="N5" i="2"/>
  <c r="M5" i="2"/>
  <c r="L5" i="2"/>
  <c r="K5" i="2"/>
  <c r="J5" i="2"/>
  <c r="I5" i="2"/>
  <c r="H5" i="2"/>
  <c r="O4" i="2"/>
  <c r="N4" i="2"/>
  <c r="M4" i="2"/>
  <c r="L4" i="2"/>
  <c r="K4" i="2"/>
  <c r="J4" i="2"/>
  <c r="I4" i="2"/>
  <c r="H4" i="2"/>
  <c r="O3" i="2"/>
  <c r="N3" i="2"/>
  <c r="M3" i="2"/>
  <c r="L3" i="2"/>
  <c r="K3" i="2"/>
  <c r="J3" i="2"/>
  <c r="I3" i="2"/>
  <c r="H3" i="2"/>
  <c r="O8" i="1"/>
  <c r="N8" i="1"/>
  <c r="M8" i="1"/>
  <c r="K8" i="1"/>
  <c r="J8" i="1"/>
  <c r="I8" i="1"/>
  <c r="H8" i="1"/>
  <c r="G8" i="1"/>
  <c r="F8" i="1"/>
  <c r="E8" i="1"/>
  <c r="O7" i="1"/>
  <c r="N7" i="1"/>
  <c r="M7" i="1"/>
  <c r="K7" i="1"/>
  <c r="J7" i="1"/>
  <c r="I7" i="1"/>
  <c r="H7" i="1"/>
  <c r="G7" i="1"/>
  <c r="F7" i="1"/>
  <c r="E7" i="1"/>
  <c r="O6" i="1"/>
  <c r="N6" i="1"/>
  <c r="M6" i="1"/>
  <c r="K6" i="1"/>
  <c r="J6" i="1"/>
  <c r="I6" i="1"/>
  <c r="H6" i="1"/>
  <c r="G6" i="1"/>
  <c r="F6" i="1"/>
  <c r="E6" i="1"/>
  <c r="O5" i="1"/>
  <c r="N5" i="1"/>
  <c r="M5" i="1"/>
  <c r="K5" i="1"/>
  <c r="J5" i="1"/>
  <c r="I5" i="1"/>
  <c r="H5" i="1"/>
  <c r="G5" i="1"/>
  <c r="F5" i="1"/>
  <c r="E5" i="1"/>
  <c r="O4" i="1"/>
  <c r="N4" i="1"/>
  <c r="M4" i="1"/>
  <c r="K4" i="1"/>
  <c r="J4" i="1"/>
  <c r="I4" i="1"/>
  <c r="H4" i="1"/>
  <c r="G4" i="1"/>
  <c r="F4" i="1"/>
  <c r="E4" i="1"/>
  <c r="O3" i="1"/>
  <c r="O9" i="1" s="1"/>
  <c r="N3" i="1"/>
  <c r="N9" i="1" s="1"/>
  <c r="M3" i="1"/>
  <c r="M9" i="1" s="1"/>
  <c r="K3" i="1"/>
  <c r="K9" i="1" s="1"/>
  <c r="J3" i="1"/>
  <c r="J9" i="1" s="1"/>
  <c r="I3" i="1"/>
  <c r="I9" i="1" s="1"/>
  <c r="H3" i="1"/>
  <c r="H9" i="1" s="1"/>
  <c r="G3" i="1"/>
  <c r="G9" i="1" s="1"/>
  <c r="F3" i="1"/>
  <c r="E3" i="1"/>
  <c r="E9" i="1" s="1"/>
  <c r="F9" i="1" l="1"/>
  <c r="L9" i="1" s="1"/>
  <c r="L3" i="1"/>
  <c r="L4" i="1"/>
  <c r="L5" i="1"/>
  <c r="L6" i="1"/>
  <c r="L7" i="1"/>
  <c r="L8" i="1"/>
  <c r="B11" i="10"/>
  <c r="I3" i="10"/>
  <c r="I11" i="10" s="1"/>
</calcChain>
</file>

<file path=xl/sharedStrings.xml><?xml version="1.0" encoding="utf-8"?>
<sst xmlns="http://schemas.openxmlformats.org/spreadsheetml/2006/main" count="4396" uniqueCount="585">
  <si>
    <t>Phase 5 - Sprint Summary</t>
  </si>
  <si>
    <t>Sprint</t>
  </si>
  <si>
    <t>Weeks</t>
  </si>
  <si>
    <t>Dates</t>
  </si>
  <si>
    <t>Milestone</t>
  </si>
  <si>
    <t>Tasks</t>
  </si>
  <si>
    <t>FE Done</t>
  </si>
  <si>
    <t>BE Done</t>
  </si>
  <si>
    <t>QA Passed</t>
  </si>
  <si>
    <t>STG Deployed</t>
  </si>
  <si>
    <t>Prod Deployed</t>
  </si>
  <si>
    <t>Blocked</t>
  </si>
  <si>
    <t>% Complete</t>
  </si>
  <si>
    <t>Deps</t>
  </si>
  <si>
    <t>External Deps</t>
  </si>
  <si>
    <t>Deps Open</t>
  </si>
  <si>
    <t>P5-S1</t>
  </si>
  <si>
    <t>11-12</t>
  </si>
  <si>
    <t>21-Sep - 02-Oct-2026</t>
  </si>
  <si>
    <t>Milestone 1</t>
  </si>
  <si>
    <t>P5-S2</t>
  </si>
  <si>
    <t>13-14</t>
  </si>
  <si>
    <t>05-Oct - 16-Oct-2026</t>
  </si>
  <si>
    <t>Milestone 2</t>
  </si>
  <si>
    <t>P5-S3</t>
  </si>
  <si>
    <t>15-16</t>
  </si>
  <si>
    <t>19-Oct - 30-Oct-2026</t>
  </si>
  <si>
    <t>Milestone 3</t>
  </si>
  <si>
    <t>P5-S4</t>
  </si>
  <si>
    <t>17-18</t>
  </si>
  <si>
    <t>02-Nov - 13-Nov-2026</t>
  </si>
  <si>
    <t>P5-S5</t>
  </si>
  <si>
    <t>19-20</t>
  </si>
  <si>
    <t>16-Nov - 27-Nov-2026</t>
  </si>
  <si>
    <t>Milestone 4</t>
  </si>
  <si>
    <t>P5-S6</t>
  </si>
  <si>
    <t>21-22</t>
  </si>
  <si>
    <t>30-Nov - 11-Dec-2026</t>
  </si>
  <si>
    <t>Go-Live</t>
  </si>
  <si>
    <t>TOTAL</t>
  </si>
  <si>
    <t>Master Tracker - all sprints</t>
  </si>
  <si>
    <t>S.No</t>
  </si>
  <si>
    <t>Module</t>
  </si>
  <si>
    <t>Task Name</t>
  </si>
  <si>
    <t>BRD Ref</t>
  </si>
  <si>
    <t>Layer</t>
  </si>
  <si>
    <t>Priority</t>
  </si>
  <si>
    <t>FE Status</t>
  </si>
  <si>
    <t>BE Status</t>
  </si>
  <si>
    <t>QA / UAT</t>
  </si>
  <si>
    <t>STG Deploy</t>
  </si>
  <si>
    <t>Prod Deploy</t>
  </si>
  <si>
    <t>Owner</t>
  </si>
  <si>
    <t>Target Date</t>
  </si>
  <si>
    <t>Remarks</t>
  </si>
  <si>
    <t>RBAC Defaults &amp; Filters</t>
  </si>
  <si>
    <t>Default permission set - Job object</t>
  </si>
  <si>
    <t>4.3</t>
  </si>
  <si>
    <t>Full Stack</t>
  </si>
  <si>
    <t>High</t>
  </si>
  <si>
    <t>Default permission set - Candidate object</t>
  </si>
  <si>
    <t>Default permission set - Application object</t>
  </si>
  <si>
    <t>Role-driven dynamic search filters</t>
  </si>
  <si>
    <t>Candidate visibility restriction - recruiter / LOB / location</t>
  </si>
  <si>
    <t>Recruiter ownership &amp; shared-candidate access</t>
  </si>
  <si>
    <t>Backend</t>
  </si>
  <si>
    <t>Elevated visibility for TL / Manager</t>
  </si>
  <si>
    <t>Override access with approver authorization</t>
  </si>
  <si>
    <t>Medium</t>
  </si>
  <si>
    <t>Logging &amp; Timestamp</t>
  </si>
  <si>
    <t>Central logging framework</t>
  </si>
  <si>
    <t>4.21</t>
  </si>
  <si>
    <t>Timestamp logs</t>
  </si>
  <si>
    <t>Approval logs</t>
  </si>
  <si>
    <t>Workflow transition logs</t>
  </si>
  <si>
    <t>Activity logs</t>
  </si>
  <si>
    <t>Centralized log viewer for Admin</t>
  </si>
  <si>
    <t>Frontend</t>
  </si>
  <si>
    <t>Email Notifications</t>
  </si>
  <si>
    <t>Standard template - Walk-In</t>
  </si>
  <si>
    <t>4.9</t>
  </si>
  <si>
    <t>Standard template - On Hold</t>
  </si>
  <si>
    <t>Standard template - Rejection</t>
  </si>
  <si>
    <t>Standard template - Interview</t>
  </si>
  <si>
    <t>Automated trigger engine</t>
  </si>
  <si>
    <t>Personalization tokens &amp; candidate audit mapping</t>
  </si>
  <si>
    <t>Template engine &amp; SMTP configuration</t>
  </si>
  <si>
    <t>7 (Dependency)</t>
  </si>
  <si>
    <t>Admin Module</t>
  </si>
  <si>
    <t>Admin user account creation</t>
  </si>
  <si>
    <t>4.1</t>
  </si>
  <si>
    <t>Admin user list - search, deactivate, reactivate</t>
  </si>
  <si>
    <t>Granular user-based permission definition</t>
  </si>
  <si>
    <t>Role-to-permission mapping matrix</t>
  </si>
  <si>
    <t>Workflow state configuration</t>
  </si>
  <si>
    <t>Workflow transition configuration</t>
  </si>
  <si>
    <t>Workflow rule configuration</t>
  </si>
  <si>
    <t>Workflow versioning</t>
  </si>
  <si>
    <t>Workflow change logging</t>
  </si>
  <si>
    <t>Invalid workflow state validation</t>
  </si>
  <si>
    <t>Restrict enterprise configuration to Admin</t>
  </si>
  <si>
    <t>Secure credential / secret store</t>
  </si>
  <si>
    <t>Secret access control &amp; UI masking</t>
  </si>
  <si>
    <t>Secret access logging</t>
  </si>
  <si>
    <t>Encryption at rest and in transit</t>
  </si>
  <si>
    <t>NFR2</t>
  </si>
  <si>
    <t>Role creation &amp; permission assignment</t>
  </si>
  <si>
    <t>Organizational approval hierarchy setup</t>
  </si>
  <si>
    <t>Multi-level approver configuration</t>
  </si>
  <si>
    <t>Enterprise-level configuration screen</t>
  </si>
  <si>
    <t>Admin module role-based test matrix</t>
  </si>
  <si>
    <t>Assessment Integration</t>
  </si>
  <si>
    <t>Common assessment integration framework</t>
  </si>
  <si>
    <t>4.8</t>
  </si>
  <si>
    <t>Versant assessment invocation in workflow</t>
  </si>
  <si>
    <t>Typing &amp; other assessment integration</t>
  </si>
  <si>
    <t>Auto-trigger assessment links by LOB / role</t>
  </si>
  <si>
    <t>Capture results, timestamps &amp; score validity</t>
  </si>
  <si>
    <t>60-day score validity rule engine</t>
  </si>
  <si>
    <t>4.7 / 4.8</t>
  </si>
  <si>
    <t>Reschedule flow for technical issues</t>
  </si>
  <si>
    <t>Approver authorization for technical reschedule</t>
  </si>
  <si>
    <t>Cooling period rules - SHL assessments</t>
  </si>
  <si>
    <t>Voice Fresher Chennai restriction</t>
  </si>
  <si>
    <t>Assessment audit logging</t>
  </si>
  <si>
    <t>Blacklist Candidate</t>
  </si>
  <si>
    <t>Blacklist flag with reason capture</t>
  </si>
  <si>
    <t>Phase 5 backlog</t>
  </si>
  <si>
    <t>Block blacklisted candidate from registration / mapping</t>
  </si>
  <si>
    <t>Blacklist audit trail &amp; un-blacklist approval</t>
  </si>
  <si>
    <t>Profile Details Modification</t>
  </si>
  <si>
    <t>Online registration form - mandatory &amp; optional fields</t>
  </si>
  <si>
    <t>4.4</t>
  </si>
  <si>
    <t>Data validation for identity &amp; contact fields</t>
  </si>
  <si>
    <t>Stage-based profile update validation</t>
  </si>
  <si>
    <t>Field lock after applicant creation</t>
  </si>
  <si>
    <t>Candidate profile export to secure PDF</t>
  </si>
  <si>
    <t>Registration completion gate</t>
  </si>
  <si>
    <t>Applicant Changes</t>
  </si>
  <si>
    <t>Job re-mapping - 6 scenarios</t>
  </si>
  <si>
    <t>4.6</t>
  </si>
  <si>
    <t>Walk-In interview scheduling</t>
  </si>
  <si>
    <t>Online interview scheduling</t>
  </si>
  <si>
    <t>Reject applicant with template &amp; remarks</t>
  </si>
  <si>
    <t>Move applicant to HR Interview tab</t>
  </si>
  <si>
    <t>Restrict actions to tagged recruiter &amp; TL</t>
  </si>
  <si>
    <t>Workflow-driven tab movement validation</t>
  </si>
  <si>
    <t>Mandatory logging on scheduling / status change</t>
  </si>
  <si>
    <t>Versant Module</t>
  </si>
  <si>
    <t>Versant workflow with automated triggers</t>
  </si>
  <si>
    <t>4.11</t>
  </si>
  <si>
    <t>Versant exception handling</t>
  </si>
  <si>
    <t>Versant reschedule approval</t>
  </si>
  <si>
    <t>Versant cooling period rules</t>
  </si>
  <si>
    <t>Voice Fresher restriction enforcement</t>
  </si>
  <si>
    <t>Map Candidate</t>
  </si>
  <si>
    <t>Source management - ERS, Direct, Vendor, Recruiter, Campus, Social</t>
  </si>
  <si>
    <t>4.5</t>
  </si>
  <si>
    <t>Candidate status identification</t>
  </si>
  <si>
    <t>Mapping scenarios 1-3</t>
  </si>
  <si>
    <t>Mapping scenarios 4-6</t>
  </si>
  <si>
    <t>Tag &amp; Map when recruiter not tagged</t>
  </si>
  <si>
    <t>On Hold routing when positions unavailable</t>
  </si>
  <si>
    <t>Rejection with standard reason &amp; auto email</t>
  </si>
  <si>
    <t>Timestamp &amp; remarks capture on mapping actions</t>
  </si>
  <si>
    <t>Walk-In email trigger</t>
  </si>
  <si>
    <t>Online interview scheduling from Map Candidate</t>
  </si>
  <si>
    <t>Pipeline movement from Map Candidate</t>
  </si>
  <si>
    <t>Active requisition validation on mapping</t>
  </si>
  <si>
    <t>4.2 / 4.5</t>
  </si>
  <si>
    <t>ID Proof Verification</t>
  </si>
  <si>
    <t>ID proof upload with secure storage</t>
  </si>
  <si>
    <t>4.14</t>
  </si>
  <si>
    <t>External Identity Verification API integration</t>
  </si>
  <si>
    <t>Validation badge for verified candidates</t>
  </si>
  <si>
    <t>Role-restricted access to ID documents</t>
  </si>
  <si>
    <t>Encryption at rest and in transit for ID documents</t>
  </si>
  <si>
    <t>Candidate ID &amp; Photo Validation</t>
  </si>
  <si>
    <t>Manual photo verification screen for panelists</t>
  </si>
  <si>
    <t>4.15</t>
  </si>
  <si>
    <t>Panelist confirm / reject candidate identity</t>
  </si>
  <si>
    <t>Auto-highlight photo mismatch rejections</t>
  </si>
  <si>
    <t>Offer Oracle Integration</t>
  </si>
  <si>
    <t>Candidate to Oracle Offer Interface field mapping</t>
  </si>
  <si>
    <t>4.17</t>
  </si>
  <si>
    <t>Offer push API integration</t>
  </si>
  <si>
    <t>Pre-push offer validation</t>
  </si>
  <si>
    <t>Oracle status change to DigiHire status update</t>
  </si>
  <si>
    <t>Offer result synchronization &amp; reconciliation</t>
  </si>
  <si>
    <t>Rejected offer auto-revert</t>
  </si>
  <si>
    <t>Offer integration error handling &amp; retry log</t>
  </si>
  <si>
    <t>Pipeline Enhancements / Bulk Update</t>
  </si>
  <si>
    <t>Bulk status update across pipeline stages</t>
  </si>
  <si>
    <t>4.7</t>
  </si>
  <si>
    <t>Re-processing based on prior interview stage</t>
  </si>
  <si>
    <t>Re-evaluation on expired score validity</t>
  </si>
  <si>
    <t>Expired score auto-move to Fresher Pipeline</t>
  </si>
  <si>
    <t>Bulk movement via multi-select</t>
  </si>
  <si>
    <t>Bulk movement via Excel upload</t>
  </si>
  <si>
    <t>Stage-history validation on hiring stage movement</t>
  </si>
  <si>
    <t>Jobs Listing Enhancements</t>
  </si>
  <si>
    <t>Recruiter view of open job requisitions</t>
  </si>
  <si>
    <t>4.18</t>
  </si>
  <si>
    <t>Job listing search, filter &amp; pagination</t>
  </si>
  <si>
    <t>Publish job to Career Page</t>
  </si>
  <si>
    <t>Publish job to Buddy Finder</t>
  </si>
  <si>
    <t>JD edit with TA Head approval</t>
  </si>
  <si>
    <t>Job Integration / LOB Modification</t>
  </si>
  <si>
    <t>Oracle job requisition sync - create &amp; update</t>
  </si>
  <si>
    <t>4.2</t>
  </si>
  <si>
    <t>LOB detail sync &amp; modification handling</t>
  </si>
  <si>
    <t>Incremental change sync</t>
  </si>
  <si>
    <t>Real-time Job Listing auto-update</t>
  </si>
  <si>
    <t>Hide invalid / expired jobs from mapping</t>
  </si>
  <si>
    <t>Oracle to DigiHire field mapping consistency</t>
  </si>
  <si>
    <t>Job sync failure logging &amp; retry</t>
  </si>
  <si>
    <t>HR Round (Online/Offline)</t>
  </si>
  <si>
    <t>Online interview mode</t>
  </si>
  <si>
    <t>4.10</t>
  </si>
  <si>
    <t>In-Office interview mode</t>
  </si>
  <si>
    <t>Interview screenshot capture - Online</t>
  </si>
  <si>
    <t>Kiosk photo matching - In-Office</t>
  </si>
  <si>
    <t>Competency-based feedback configuration</t>
  </si>
  <si>
    <t>Feedback entry &amp; scoring</t>
  </si>
  <si>
    <t>Movement to Panel based on feedback</t>
  </si>
  <si>
    <t>Movement to Assessment based on feedback</t>
  </si>
  <si>
    <t>Rejected candidate immediate move to Rejected tab</t>
  </si>
  <si>
    <t>Valid next-stage enforcement</t>
  </si>
  <si>
    <t>Panel Interview Enhancements</t>
  </si>
  <si>
    <t>Panel schedule creation - LOB, panelist, location, ORC ID</t>
  </si>
  <si>
    <t>4.12</t>
  </si>
  <si>
    <t>Recording upload</t>
  </si>
  <si>
    <t>Recording review by authorized roles</t>
  </si>
  <si>
    <t>Panel Select / Reject / Hold handling</t>
  </si>
  <si>
    <t>ORC ID change - same panel path</t>
  </si>
  <si>
    <t>ORC ID change - different panel path</t>
  </si>
  <si>
    <t>60-day same-ORC reapply restriction</t>
  </si>
  <si>
    <t>Panel reschedule with full remarks history</t>
  </si>
  <si>
    <t>Vendor Module</t>
  </si>
  <si>
    <t>Vendor onboarding &amp; registration</t>
  </si>
  <si>
    <t>4.19</t>
  </si>
  <si>
    <t>Vendor document upload</t>
  </si>
  <si>
    <t>Vendor approval workflow</t>
  </si>
  <si>
    <t>End-to-end approval logging</t>
  </si>
  <si>
    <t>Vendor performance dashboard</t>
  </si>
  <si>
    <t>Vendor task allocation</t>
  </si>
  <si>
    <t>Target-based allocation restrictions</t>
  </si>
  <si>
    <t>Vendor task limit enforcement</t>
  </si>
  <si>
    <t>Auto-archive unregistered vendor profiles</t>
  </si>
  <si>
    <t>Vendor-sourced candidate linkage</t>
  </si>
  <si>
    <t>4.19 / 4.5</t>
  </si>
  <si>
    <t>Vendor role &amp; permission mapping</t>
  </si>
  <si>
    <t>4.19 / 4.3</t>
  </si>
  <si>
    <t>Three end-to-end vendor scenarios</t>
  </si>
  <si>
    <t>8 (Acceptance)</t>
  </si>
  <si>
    <t>Dashboard &amp; Reporting</t>
  </si>
  <si>
    <t>Dashboard search &amp; filter enhancements</t>
  </si>
  <si>
    <t>4.20</t>
  </si>
  <si>
    <t>Drill-down from dashboard widgets</t>
  </si>
  <si>
    <t>Hiring funnel report</t>
  </si>
  <si>
    <t>Vendor performance report</t>
  </si>
  <si>
    <t>Recruiter performance report</t>
  </si>
  <si>
    <t>Report export - Excel / PDF</t>
  </si>
  <si>
    <t>Role-based dashboard &amp; report access</t>
  </si>
  <si>
    <t>4.20 / 4.3</t>
  </si>
  <si>
    <t>TL and above requisition upload / modify</t>
  </si>
  <si>
    <t>Report accuracy validation &gt;=99%</t>
  </si>
  <si>
    <t>Optimization &amp; Tuning</t>
  </si>
  <si>
    <t>Map Candidate page optimization</t>
  </si>
  <si>
    <t>4.23</t>
  </si>
  <si>
    <t>Applicant page optimization</t>
  </si>
  <si>
    <t>Dashboard load time reduction</t>
  </si>
  <si>
    <t>4.23 / NFR1</t>
  </si>
  <si>
    <t>Database indexing &amp; query tuning</t>
  </si>
  <si>
    <t>Concurrency handling improvements</t>
  </si>
  <si>
    <t>Scalability validation to 5x volume</t>
  </si>
  <si>
    <t>NFR3</t>
  </si>
  <si>
    <t>Build Stabilization</t>
  </si>
  <si>
    <t>Defect triage &amp; Sev1 / Sev2 closure</t>
  </si>
  <si>
    <t>Known defect fixes across existing flows</t>
  </si>
  <si>
    <t>End-to-end regression - sourcing to onboarding</t>
  </si>
  <si>
    <t>Integration regression - Oracle, SHL, Versant, ID Verification</t>
  </si>
  <si>
    <t>RBAC &amp; permission regression matrix</t>
  </si>
  <si>
    <t>Rule verification - cooling period, ORC, Voice Fresher</t>
  </si>
  <si>
    <t>Audit log completeness verification</t>
  </si>
  <si>
    <t>NFR5</t>
  </si>
  <si>
    <t>Performance re-test - 3s load, 99.5% uptime</t>
  </si>
  <si>
    <t>NFR1 / NFR4</t>
  </si>
  <si>
    <t>UAT support &amp; defect turnaround</t>
  </si>
  <si>
    <t>1 (Intro)</t>
  </si>
  <si>
    <t>User training material &amp; documentation</t>
  </si>
  <si>
    <t>9 (Deliverables)</t>
  </si>
  <si>
    <t>Go-Live readiness checklist &amp; cutover plan</t>
  </si>
  <si>
    <t>Production deployment &amp; hypercare</t>
  </si>
  <si>
    <t>P5-S1   |   Weeks 11-12   |   21-Sep - 02-Oct-2026</t>
  </si>
  <si>
    <t>Completed</t>
  </si>
  <si>
    <t>Not Started</t>
  </si>
  <si>
    <t>Deployed</t>
  </si>
  <si>
    <t>Not Deployed</t>
  </si>
  <si>
    <t>Gokul</t>
  </si>
  <si>
    <t>Ehthikash</t>
  </si>
  <si>
    <t>Harish</t>
  </si>
  <si>
    <t>Aarthy</t>
  </si>
  <si>
    <t>Livesh</t>
  </si>
  <si>
    <t>Not Applicable</t>
  </si>
  <si>
    <t>Aarthy / Ehthikash</t>
  </si>
  <si>
    <t>Aarthy / Gokul</t>
  </si>
  <si>
    <t>P5-S2   |   Weeks 13-14   |   05-Oct - 16-Oct-2026</t>
  </si>
  <si>
    <t>In Progress</t>
  </si>
  <si>
    <t>Gokul / Aarthy</t>
  </si>
  <si>
    <t>Typing assessment integration</t>
  </si>
  <si>
    <t>Harish / Aarthy</t>
  </si>
  <si>
    <t>What are the list of integrations needed.. Any preference.</t>
  </si>
  <si>
    <t>P5-S3   |   Weeks 15-16   |   19-Oct - 30-Oct-2026</t>
  </si>
  <si>
    <t>P5-S4   |   Weeks 17-18   |   02-Nov - 13-Nov-2026</t>
  </si>
  <si>
    <t>P5-S5   |   Weeks 19-20   |   16-Nov - 27-Nov-2026</t>
  </si>
  <si>
    <t>P5-S6   |   Weeks 21-22   |   30-Nov - 11-Dec-2026</t>
  </si>
  <si>
    <t>Sprint Dependency Register</t>
  </si>
  <si>
    <t>Dep ID</t>
  </si>
  <si>
    <t>Dependency</t>
  </si>
  <si>
    <t>Category</t>
  </si>
  <si>
    <t>Type</t>
  </si>
  <si>
    <t>Team</t>
  </si>
  <si>
    <t>Required By</t>
  </si>
  <si>
    <t>Status</t>
  </si>
  <si>
    <t>DEP-S1-01</t>
  </si>
  <si>
    <t>SMTP server &amp; email template engine configuration</t>
  </si>
  <si>
    <t>Email Template</t>
  </si>
  <si>
    <t>External</t>
  </si>
  <si>
    <t>TA Head</t>
  </si>
  <si>
    <t>TA Head / Leadership</t>
  </si>
  <si>
    <t>Before 21-Sep</t>
  </si>
  <si>
    <t>Need confirmation whether we will be using the same set as before. Template will be handled in the code.</t>
  </si>
  <si>
    <t>DEP-S1-02</t>
  </si>
  <si>
    <t>Email domain whitelisting (SPF / DKIM / DMARC) for candidate mails</t>
  </si>
  <si>
    <t>Infrastructure</t>
  </si>
  <si>
    <t>AGS IT / Security</t>
  </si>
  <si>
    <t>AGS Security, Legal &amp; Compliance</t>
  </si>
  <si>
    <t>Closed</t>
  </si>
  <si>
    <t>DEP-S1-03</t>
  </si>
  <si>
    <t>Role, LOB and Location master data</t>
  </si>
  <si>
    <t>Data / Configuration</t>
  </si>
  <si>
    <t>Internal</t>
  </si>
  <si>
    <t>AGS TA Ops</t>
  </si>
  <si>
    <t>AGS TA Ops / BA</t>
  </si>
  <si>
    <t>DEP-S1-04</t>
  </si>
  <si>
    <t>Signed-off RBAC permission matrix (role x object x action)</t>
  </si>
  <si>
    <t>Approval / Sign-off</t>
  </si>
  <si>
    <t>TA Head / Suresh</t>
  </si>
  <si>
    <t>DEP-S1-05</t>
  </si>
  <si>
    <t>Log table schema, storage sizing &amp; retention policy</t>
  </si>
  <si>
    <t>AGS Software</t>
  </si>
  <si>
    <t>AGS Tech</t>
  </si>
  <si>
    <t>AGS IT &amp; Infra</t>
  </si>
  <si>
    <t>Paddy can give these details.</t>
  </si>
  <si>
    <t>DEP-S1-06</t>
  </si>
  <si>
    <t>STG environments provisioned for Phase 5</t>
  </si>
  <si>
    <t>Environment</t>
  </si>
  <si>
    <t>AGS IT / DevOps</t>
  </si>
  <si>
    <t>DEP-S1-07</t>
  </si>
  <si>
    <t>Confirmation that Phase 5 = 120 days IN-SCOPE (RBAC in, 4 items out)</t>
  </si>
  <si>
    <t>Suresh Divakaran</t>
  </si>
  <si>
    <t>DEP-S1-08</t>
  </si>
  <si>
    <t>Central logging framework delivered in week 1 of P5-S1</t>
  </si>
  <si>
    <t>Predecessor Work</t>
  </si>
  <si>
    <t>Dev Team</t>
  </si>
  <si>
    <t>Dev Team (Internal)</t>
  </si>
  <si>
    <t>By 25-Sep</t>
  </si>
  <si>
    <t>DEP-S1-09</t>
  </si>
  <si>
    <t>RBAC permission framework delivered in week 1 of P5-S1</t>
  </si>
  <si>
    <t>DEP-S1-10</t>
  </si>
  <si>
    <t>Workflow state and transition catalogue per module</t>
  </si>
  <si>
    <t>Matrix for the LOB and Assessments to map the list of assessments for each type of Role under LOB</t>
  </si>
  <si>
    <t>DEP-S1-11</t>
  </si>
  <si>
    <t>Admin role definitions and hierarchy inputs</t>
  </si>
  <si>
    <t>DEP-S1-12</t>
  </si>
  <si>
    <t>Admin test accounts and sample user data on STG</t>
  </si>
  <si>
    <t>AGS IT</t>
  </si>
  <si>
    <t>DEP-S2-01</t>
  </si>
  <si>
    <t>Blacklist reason master list</t>
  </si>
  <si>
    <t>Before 05-Oct</t>
  </si>
  <si>
    <t>DEP-S2-02</t>
  </si>
  <si>
    <t>Vendor credentials issued - Versant, Oracle, ID Verification</t>
  </si>
  <si>
    <t>Vendor / 3rd Party</t>
  </si>
  <si>
    <t>Vendor Partners / AGS Procurement</t>
  </si>
  <si>
    <t>Vendors &amp; Procurement</t>
  </si>
  <si>
    <t>DEP-S2-03</t>
  </si>
  <si>
    <t>Secrets management / vault solution decision and provisioning</t>
  </si>
  <si>
    <t>AGS Infra &amp; Security</t>
  </si>
  <si>
    <t>DevOps Work. Owned by AGS Team.</t>
  </si>
  <si>
    <t>DEP-S2-04</t>
  </si>
  <si>
    <t>Encryption key management (KMS) and key rotation policy</t>
  </si>
  <si>
    <t>AGS Security</t>
  </si>
  <si>
    <t>DEP-S2-05</t>
  </si>
  <si>
    <t>Organizational approval hierarchy data (approvers by level and LOB)</t>
  </si>
  <si>
    <t>AGS TA Ops / HR</t>
  </si>
  <si>
    <t>DEP-S2-06</t>
  </si>
  <si>
    <t>Security team review of secret handling design</t>
  </si>
  <si>
    <t>DEP-S2-07</t>
  </si>
  <si>
    <t>Versant API access and sandbox environment</t>
  </si>
  <si>
    <t>Versant</t>
  </si>
  <si>
    <t>DEP-S2-08</t>
  </si>
  <si>
    <t>Typing / other assessment tool API access</t>
  </si>
  <si>
    <t>Assessment Vendor</t>
  </si>
  <si>
    <t>SHL, Versant and Panel Only</t>
  </si>
  <si>
    <t>DEP-S2-09</t>
  </si>
  <si>
    <t>LOB / role to assessment mapping matrix</t>
  </si>
  <si>
    <t>DEP-S2-10</t>
  </si>
  <si>
    <t>Cooling period rules sign-off (SHL 7/30/180, Versant 15/45/180)</t>
  </si>
  <si>
    <t>DEP-S2-11</t>
  </si>
  <si>
    <t>Voice Fresher Chennai restriction definition and role list</t>
  </si>
  <si>
    <t>DEP-S2-12</t>
  </si>
  <si>
    <t>Secrets vault delivered in week 1 of P5-S2</t>
  </si>
  <si>
    <t>By 09-Oct</t>
  </si>
  <si>
    <t>DEP-S3-01</t>
  </si>
  <si>
    <t>Final registration field list - mandatory vs optional</t>
  </si>
  <si>
    <t>TA Head / BA</t>
  </si>
  <si>
    <t>Before 19-Oct</t>
  </si>
  <si>
    <t>DEP-S3-02</t>
  </si>
  <si>
    <t>Stage-wise editable field matrix (post applicant creation)</t>
  </si>
  <si>
    <t>DEP-S3-03</t>
  </si>
  <si>
    <t>Secure PDF template and branding for profile export</t>
  </si>
  <si>
    <t>AGS TA / Marketing</t>
  </si>
  <si>
    <t>AGS Marketing / Web</t>
  </si>
  <si>
    <t>DEP-S3-04</t>
  </si>
  <si>
    <t>Versant API availability (carried from P5-S2)</t>
  </si>
  <si>
    <t>DEP-S3-05</t>
  </si>
  <si>
    <t>Email templates delivered in P5-S1</t>
  </si>
  <si>
    <t>DEP-S3-06</t>
  </si>
  <si>
    <t>Six mapping scenario definitions (shared with Map Candidate)</t>
  </si>
  <si>
    <t>BA / TA Ops</t>
  </si>
  <si>
    <t>DEP-S3-07</t>
  </si>
  <si>
    <t>Interview slot / calendar master for Walk-In and Online modes</t>
  </si>
  <si>
    <t>DEP-S3-08</t>
  </si>
  <si>
    <t>Sourcing channel master and ERS data feed</t>
  </si>
  <si>
    <t>AGS TA Ops / ERS Owner</t>
  </si>
  <si>
    <t>DEP-S3-09</t>
  </si>
  <si>
    <t>Standard rejection reason master list</t>
  </si>
  <si>
    <t>DEP-S3-10</t>
  </si>
  <si>
    <t>Oracle requisition validity feed (active vs expired jobs)</t>
  </si>
  <si>
    <t>Oracle Team</t>
  </si>
  <si>
    <t>DEP-S4-01</t>
  </si>
  <si>
    <t>External Identity Verification API - contract, credentials, rate limits</t>
  </si>
  <si>
    <t>ID Verification Vendor / Procurement</t>
  </si>
  <si>
    <t>Before 02-Nov</t>
  </si>
  <si>
    <t>DEP-S4-02</t>
  </si>
  <si>
    <t>Secure document storage with encryption (object store / DMS)</t>
  </si>
  <si>
    <t>DEP-S4-03</t>
  </si>
  <si>
    <t>Data privacy, consent and retention approval for ID documents</t>
  </si>
  <si>
    <t>AGS Legal / Compliance</t>
  </si>
  <si>
    <t>DEP-S4-04</t>
  </si>
  <si>
    <t>Panelist photo verification process sign-off</t>
  </si>
  <si>
    <t>TA Head / Compliance</t>
  </si>
  <si>
    <t>DEP-S4-05</t>
  </si>
  <si>
    <t>Oracle Offer Interface - API spec, endpoints, credentials, sandbox</t>
  </si>
  <si>
    <t>Oracle Team / AGS IT</t>
  </si>
  <si>
    <t>DEP-S4-06</t>
  </si>
  <si>
    <t>Oracle offer field mapping document sign-off</t>
  </si>
  <si>
    <t>Oracle Team / TA Head</t>
  </si>
  <si>
    <t>DEP-S4-07</t>
  </si>
  <si>
    <t>Oracle status callback or polling mechanism agreement</t>
  </si>
  <si>
    <t>DEP-S4-08</t>
  </si>
  <si>
    <t>Test offer records and test candidates in the Oracle sandbox</t>
  </si>
  <si>
    <t>DEP-S4-09</t>
  </si>
  <si>
    <t>60-day score validity engine delivered in P5-S2</t>
  </si>
  <si>
    <t>DEP-S4-10</t>
  </si>
  <si>
    <t>Bulk Excel upload template format sign-off</t>
  </si>
  <si>
    <t>TA Ops / BA</t>
  </si>
  <si>
    <t>DEP-S4-11</t>
  </si>
  <si>
    <t>Oracle job requisition and LOB sync API + incremental change feed</t>
  </si>
  <si>
    <t>DEP-S4-12</t>
  </si>
  <si>
    <t>Oracle to DigiHire job field mapping sign-off</t>
  </si>
  <si>
    <t>Oracle Team / BA</t>
  </si>
  <si>
    <t>DEP-S4-13</t>
  </si>
  <si>
    <t>Career Page publishing endpoint / CMS access</t>
  </si>
  <si>
    <t>AGS Marketing / Web Team</t>
  </si>
  <si>
    <t>DEP-S4-14</t>
  </si>
  <si>
    <t>Buddy Finder platform access / API</t>
  </si>
  <si>
    <t>Buddy Finder Owner</t>
  </si>
  <si>
    <t>DEP-S4-15</t>
  </si>
  <si>
    <t>JD edit approval workflow definition (TA Head approval)</t>
  </si>
  <si>
    <t>DEP-S5-01</t>
  </si>
  <si>
    <t>Kiosk photo capture hardware and SDK at interview locations</t>
  </si>
  <si>
    <t>AGS IT / Facilities</t>
  </si>
  <si>
    <t>Before 16-Nov</t>
  </si>
  <si>
    <t>DEP-S5-02</t>
  </si>
  <si>
    <t>Online interview platform - link generation and screenshot capability</t>
  </si>
  <si>
    <t>AGS IT / Platform Vendor</t>
  </si>
  <si>
    <t>DEP-S5-03</t>
  </si>
  <si>
    <t>Recording storage capacity and retention policy</t>
  </si>
  <si>
    <t>AGS Infra / Compliance</t>
  </si>
  <si>
    <t>DEP-S5-04</t>
  </si>
  <si>
    <t>Competency framework and feedback form definitions</t>
  </si>
  <si>
    <t>TA Head / HR</t>
  </si>
  <si>
    <t>DEP-S5-05</t>
  </si>
  <si>
    <t>ORC ID master, panel and panelist master data</t>
  </si>
  <si>
    <t>DEP-S5-06</t>
  </si>
  <si>
    <t>Interview location and panel calendar master</t>
  </si>
  <si>
    <t>DEP-S5-07</t>
  </si>
  <si>
    <t>Vendor master data, contracts and commercial targets</t>
  </si>
  <si>
    <t>AGS Procurement / TA</t>
  </si>
  <si>
    <t>DEP-S5-08</t>
  </si>
  <si>
    <t>Vendor document checklist and agreement templates</t>
  </si>
  <si>
    <t>AGS Legal / Procurement</t>
  </si>
  <si>
    <t>DEP-S5-09</t>
  </si>
  <si>
    <t>Vendor approval hierarchy sign-off</t>
  </si>
  <si>
    <t>DEP-S5-10</t>
  </si>
  <si>
    <t>External vendor user access model and email deliverability</t>
  </si>
  <si>
    <t>DEP-S5-11</t>
  </si>
  <si>
    <t>Vendor performance KPI definitions</t>
  </si>
  <si>
    <t>DEP-S5-12</t>
  </si>
  <si>
    <t>Three end-to-end vendor test scenarios agreed</t>
  </si>
  <si>
    <t>TA Ops / QA</t>
  </si>
  <si>
    <t>DEP-S6-01</t>
  </si>
  <si>
    <t>Report and KPI specification sign-off (funnel, vendor, recruiter)</t>
  </si>
  <si>
    <t>Before 30-Nov</t>
  </si>
  <si>
    <t>DEP-S6-02</t>
  </si>
  <si>
    <t>Production-like data volume for high-volume and 5x scalability testing</t>
  </si>
  <si>
    <t>AGS DBA / IT</t>
  </si>
  <si>
    <t>DEP-S6-03</t>
  </si>
  <si>
    <t>Performance testing tool, licences and load environment</t>
  </si>
  <si>
    <t>DEP-S6-04</t>
  </si>
  <si>
    <t>DBA support for indexing and query tuning</t>
  </si>
  <si>
    <t>Resource</t>
  </si>
  <si>
    <t>AGS DBA</t>
  </si>
  <si>
    <t>DEP-S6-05</t>
  </si>
  <si>
    <t>APM / monitoring tooling access (logs, traces, DB metrics)</t>
  </si>
  <si>
    <t>DEP-S6-06</t>
  </si>
  <si>
    <t>Infrastructure sizing confirmation for peak load</t>
  </si>
  <si>
    <t>AGS Infra</t>
  </si>
  <si>
    <t>DEP-S6-07</t>
  </si>
  <si>
    <t>UAT environment with masked production-like data</t>
  </si>
  <si>
    <t>AGS IT / DBA</t>
  </si>
  <si>
    <t>DEP-S6-08</t>
  </si>
  <si>
    <t>UAT users nominated and available (TA, HR, Vendors)</t>
  </si>
  <si>
    <t>DEP-S6-09</t>
  </si>
  <si>
    <t>Production credentials for all integrations - Oracle, Versant, ID Verification</t>
  </si>
  <si>
    <t>Vendor Partners / AGS IT</t>
  </si>
  <si>
    <t>DEP-S6-10</t>
  </si>
  <si>
    <t>Change Advisory Board / release approval</t>
  </si>
  <si>
    <t>AGS IT Governance</t>
  </si>
  <si>
    <t>DEP-S6-11</t>
  </si>
  <si>
    <t>Production deployment window and downtime approval</t>
  </si>
  <si>
    <t>AGS IT / Business</t>
  </si>
  <si>
    <t>DEP-S6-12</t>
  </si>
  <si>
    <t>Training schedule, trainer and training environment</t>
  </si>
  <si>
    <t>TA Head / L&amp;D</t>
  </si>
  <si>
    <t>DEP-S6-13</t>
  </si>
  <si>
    <t>Hypercare support roster and escalation matrix</t>
  </si>
  <si>
    <t>PM / Dev Team</t>
  </si>
  <si>
    <t>Jobs</t>
  </si>
  <si>
    <t>Create API</t>
  </si>
  <si>
    <t>Update API</t>
  </si>
  <si>
    <t>Get All</t>
  </si>
  <si>
    <t>Get by Id</t>
  </si>
  <si>
    <t>Candidates</t>
  </si>
  <si>
    <t>Get by Email</t>
  </si>
  <si>
    <t>Employees</t>
  </si>
  <si>
    <t>Dependencies by Team and Category</t>
  </si>
  <si>
    <t>Total</t>
  </si>
  <si>
    <t>Dependency List by Team and Category</t>
  </si>
  <si>
    <t>AGS IT / Infra</t>
  </si>
  <si>
    <t>AGS DBA / Infra</t>
  </si>
  <si>
    <t>DEV and STG environments provisioned for Phase 5</t>
  </si>
  <si>
    <t>Admin test accounts and sample user data on DEV/STG</t>
  </si>
  <si>
    <t>IN-SCOPE (RBAC in, 4 items out)</t>
  </si>
  <si>
    <t>DevStatus</t>
  </si>
  <si>
    <t>QAStatus</t>
  </si>
  <si>
    <t>DeployStatus</t>
  </si>
  <si>
    <t>DepStatus</t>
  </si>
  <si>
    <t>DepType</t>
  </si>
  <si>
    <t>Ready for Deploy</t>
  </si>
  <si>
    <t>Requested</t>
  </si>
  <si>
    <t>Dev Complete</t>
  </si>
  <si>
    <t>Passed</t>
  </si>
  <si>
    <t>Low</t>
  </si>
  <si>
    <t>Code Review</t>
  </si>
  <si>
    <t>Failed</t>
  </si>
  <si>
    <t>Verified</t>
  </si>
  <si>
    <t>Available</t>
  </si>
  <si>
    <t>Re-Test</t>
  </si>
  <si>
    <t>Deploy Failed</t>
  </si>
  <si>
    <t>At Risk</t>
  </si>
  <si>
    <t>On Hold</t>
  </si>
  <si>
    <t>Rolled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</si>
</sst>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2"/>
      <color rgb="FF1F3B4D"/>
      <name val="Arial"/>
      <charset val="1"/>
    </font>
    <font>
      <b/>
      <sz val="10"/>
      <color rgb="FF1F3B4D"/>
      <name val="Arial"/>
      <charset val="1"/>
    </font>
    <font>
      <sz val="10"/>
      <name val="Arial"/>
      <charset val="1"/>
    </font>
    <font>
      <sz val="10"/>
      <color rgb="FF000000"/>
      <name val="Arial"/>
      <charset val="1"/>
    </font>
    <font>
      <b/>
      <sz val="10"/>
      <color rgb="FF9C2A2A"/>
      <name val="Arial"/>
      <charset val="1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2F7FB"/>
        <bgColor rgb="FFF2F2F2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2F7FB"/>
      </patternFill>
    </fill>
    <fill>
      <patternFill patternType="solid">
        <fgColor rgb="FFFFFDF0"/>
        <bgColor rgb="FFF2F7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6" fillId="0" borderId="0" xfId="0" applyFont="1"/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166"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08080"/>
        <name val="Arial"/>
        <charset val="1"/>
      </font>
      <fill>
        <patternFill>
          <bgColor rgb="FFEDEDED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808080"/>
        <name val="Arial"/>
        <charset val="1"/>
      </font>
      <fill>
        <patternFill>
          <bgColor rgb="FFEDEDED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808080"/>
        <name val="Arial"/>
        <charset val="1"/>
      </font>
      <fill>
        <patternFill>
          <bgColor rgb="FFEDEDED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08080"/>
        <name val="Arial"/>
        <charset val="1"/>
      </font>
      <fill>
        <patternFill>
          <bgColor rgb="FFEDEDED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808080"/>
        <name val="Arial"/>
        <charset val="1"/>
      </font>
      <fill>
        <patternFill>
          <bgColor rgb="FFEDEDED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808080"/>
        <name val="Arial"/>
        <charset val="1"/>
      </font>
      <fill>
        <patternFill>
          <bgColor rgb="FFEDEDED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08080"/>
        <name val="Arial"/>
        <charset val="1"/>
      </font>
      <fill>
        <patternFill>
          <bgColor rgb="FFEDEDED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808080"/>
        <name val="Arial"/>
        <charset val="1"/>
      </font>
      <fill>
        <patternFill>
          <bgColor rgb="FFEDEDED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808080"/>
        <name val="Arial"/>
        <charset val="1"/>
      </font>
      <fill>
        <patternFill>
          <bgColor rgb="FFEDEDED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08080"/>
        <name val="Arial"/>
        <charset val="1"/>
      </font>
      <fill>
        <patternFill>
          <bgColor rgb="FFEDEDED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808080"/>
        <name val="Arial"/>
        <charset val="1"/>
      </font>
      <fill>
        <patternFill>
          <bgColor rgb="FFEDEDED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808080"/>
        <name val="Arial"/>
        <charset val="1"/>
      </font>
      <fill>
        <patternFill>
          <bgColor rgb="FFEDEDED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08080"/>
        <name val="Arial"/>
        <charset val="1"/>
      </font>
      <fill>
        <patternFill>
          <bgColor rgb="FFEDEDED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808080"/>
        <name val="Arial"/>
        <charset val="1"/>
      </font>
      <fill>
        <patternFill>
          <bgColor rgb="FFEDEDED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808080"/>
        <name val="Arial"/>
        <charset val="1"/>
      </font>
      <fill>
        <patternFill>
          <bgColor rgb="FFEDEDED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08080"/>
        <name val="Arial"/>
        <charset val="1"/>
      </font>
      <fill>
        <patternFill>
          <bgColor rgb="FFEDEDED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808080"/>
        <name val="Arial"/>
        <charset val="1"/>
      </font>
      <fill>
        <patternFill>
          <bgColor rgb="FFEDEDED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808080"/>
        <name val="Arial"/>
        <charset val="1"/>
      </font>
      <fill>
        <patternFill>
          <bgColor rgb="FFEDEDED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08080"/>
        <name val="Arial"/>
        <charset val="1"/>
      </font>
      <fill>
        <patternFill>
          <bgColor rgb="FFEDEDED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808080"/>
        <name val="Arial"/>
        <charset val="1"/>
      </font>
      <fill>
        <patternFill>
          <bgColor rgb="FFEDEDED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  <dxf>
      <font>
        <sz val="10"/>
        <color rgb="FF808080"/>
        <name val="Arial"/>
        <charset val="1"/>
      </font>
      <fill>
        <patternFill>
          <bgColor rgb="FFEDEDED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9C2A2A"/>
        <name val="Arial"/>
        <charset val="1"/>
      </font>
      <fill>
        <patternFill>
          <bgColor rgb="FFF8D7DA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8A6100"/>
        <name val="Arial"/>
        <charset val="1"/>
      </font>
      <fill>
        <patternFill>
          <bgColor rgb="FFFFF2CC"/>
        </patternFill>
      </fill>
    </dxf>
    <dxf>
      <font>
        <sz val="10"/>
        <color rgb="FF1E6B34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DF0"/>
      <rgbColor rgb="FFFF0000"/>
      <rgbColor rgb="FF00FF00"/>
      <rgbColor rgb="FF0000FF"/>
      <rgbColor rgb="FFFFFF00"/>
      <rgbColor rgb="FFFF00FF"/>
      <rgbColor rgb="FF00FFFF"/>
      <rgbColor rgb="FF800000"/>
      <rgbColor rgb="FF1E6B34"/>
      <rgbColor rgb="FF000080"/>
      <rgbColor rgb="FF8A6100"/>
      <rgbColor rgb="FF800080"/>
      <rgbColor rgb="FF008080"/>
      <rgbColor rgb="FFEDEDED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B"/>
      <rgbColor rgb="FFC6EFCE"/>
      <rgbColor rgb="FFF2F2F2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2A2A"/>
      <rgbColor rgb="FF993366"/>
      <rgbColor rgb="FF333399"/>
      <rgbColor rgb="FF1F3B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showGridLines="0" zoomScaleNormal="100" workbookViewId="0">
      <pane ySplit="2" topLeftCell="A3" activePane="bottomLeft" state="frozen"/>
      <selection pane="bottomLeft" activeCell="C8" sqref="C8"/>
    </sheetView>
  </sheetViews>
  <sheetFormatPr defaultColWidth="8.7109375" defaultRowHeight="15"/>
  <cols>
    <col min="1" max="1" width="10" customWidth="1"/>
    <col min="2" max="2" width="9" customWidth="1"/>
    <col min="3" max="3" width="24" customWidth="1"/>
    <col min="4" max="4" width="13" customWidth="1"/>
    <col min="5" max="5" width="9" customWidth="1"/>
    <col min="6" max="7" width="10" customWidth="1"/>
    <col min="8" max="8" width="11" customWidth="1"/>
    <col min="9" max="10" width="14" customWidth="1"/>
    <col min="11" max="11" width="10" customWidth="1"/>
    <col min="12" max="12" width="12" customWidth="1"/>
    <col min="13" max="13" width="9" customWidth="1"/>
    <col min="14" max="14" width="13" customWidth="1"/>
    <col min="15" max="15" width="11" customWidth="1"/>
  </cols>
  <sheetData>
    <row r="1" spans="1:15" ht="24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27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21.75" customHeight="1">
      <c r="A3" s="2" t="s">
        <v>16</v>
      </c>
      <c r="B3" s="2" t="s">
        <v>17</v>
      </c>
      <c r="C3" s="2" t="s">
        <v>18</v>
      </c>
      <c r="D3" s="2" t="s">
        <v>19</v>
      </c>
      <c r="E3" s="2">
        <f>COUNTA('P5-S1'!C3:C34)</f>
        <v>32</v>
      </c>
      <c r="F3" s="2">
        <f>COUNTIF('P5-S1'!G3:G34,"Completed")</f>
        <v>31</v>
      </c>
      <c r="G3" s="2">
        <f>COUNTIF('P5-S1'!H3:H34,"Completed")</f>
        <v>32</v>
      </c>
      <c r="H3" s="2">
        <f>COUNTIF('P5-S1'!I3:I34,"Passed")</f>
        <v>0</v>
      </c>
      <c r="I3" s="2">
        <f>COUNTIF('P5-S1'!J3:J34,"Deployed")+COUNTIF('P5-S1'!J3:J34,"Verified")</f>
        <v>32</v>
      </c>
      <c r="J3" s="2">
        <f>COUNTIF('P5-S1'!K3:K34,"Deployed")+COUNTIF('P5-S1'!K3:K34,"Verified")</f>
        <v>0</v>
      </c>
      <c r="K3" s="2">
        <f>COUNTIF('P5-S1'!G3:G34,"Blocked")+COUNTIF('P5-S1'!H3:H34,"Blocked")</f>
        <v>0</v>
      </c>
      <c r="L3" s="3">
        <f>IFERROR((F3+G3)/(2*E3),0)</f>
        <v>0.984375</v>
      </c>
      <c r="M3" s="2">
        <f>COUNTIF(Dependencies!$B$3:$B$76,A3)</f>
        <v>12</v>
      </c>
      <c r="N3" s="2">
        <f>COUNTIFS(Dependencies!$B$3:$B$76,A3,Dependencies!$E$3:$E$76,"External")</f>
        <v>2</v>
      </c>
      <c r="O3" s="2">
        <f>COUNTIFS(Dependencies!$B$3:$B$76,A3,Dependencies!$I$3:$I$76,"Not Started")+COUNTIFS(Dependencies!$B$3:$B$76,A3,Dependencies!$I$3:$I$76,"Requested")+COUNTIFS(Dependencies!$B$3:$B$76,A3,Dependencies!$I$3:$I$76,"In Progress")+COUNTIFS(Dependencies!$B$3:$B$76,A3,Dependencies!$I$3:$I$76,"At Risk")+COUNTIFS(Dependencies!$B$3:$B$76,A3,Dependencies!$I$3:$I$76,"Blocked")</f>
        <v>9</v>
      </c>
    </row>
    <row r="4" spans="1:15" ht="21.75" customHeight="1">
      <c r="A4" s="2" t="s">
        <v>20</v>
      </c>
      <c r="B4" s="2" t="s">
        <v>21</v>
      </c>
      <c r="C4" s="2" t="s">
        <v>22</v>
      </c>
      <c r="D4" s="2" t="s">
        <v>23</v>
      </c>
      <c r="E4" s="2">
        <f>COUNTA('P5-S2'!C3:C25)</f>
        <v>23</v>
      </c>
      <c r="F4" s="2">
        <f>COUNTIF('P5-S2'!G3:G25,"Completed")</f>
        <v>0</v>
      </c>
      <c r="G4" s="2">
        <f>COUNTIF('P5-S2'!H3:H25,"Completed")</f>
        <v>0</v>
      </c>
      <c r="H4" s="2">
        <f>COUNTIF('P5-S2'!I3:I25,"Passed")</f>
        <v>0</v>
      </c>
      <c r="I4" s="2">
        <f>COUNTIF('P5-S2'!J3:J25,"Deployed")+COUNTIF('P5-S2'!J3:J25,"Verified")</f>
        <v>0</v>
      </c>
      <c r="J4" s="2">
        <f>COUNTIF('P5-S2'!K3:K25,"Deployed")+COUNTIF('P5-S2'!K3:K25,"Verified")</f>
        <v>0</v>
      </c>
      <c r="K4" s="2">
        <f>COUNTIF('P5-S2'!G3:G25,"Blocked")+COUNTIF('P5-S2'!H3:H25,"Blocked")</f>
        <v>0</v>
      </c>
      <c r="L4" s="3">
        <f>IFERROR((F4+G4)/(2*E4),0)</f>
        <v>0</v>
      </c>
      <c r="M4" s="2">
        <f>COUNTIF(Dependencies!$B$3:$B$76,A4)</f>
        <v>12</v>
      </c>
      <c r="N4" s="2">
        <f>COUNTIFS(Dependencies!$B$3:$B$76,A4,Dependencies!$E$3:$E$76,"External")</f>
        <v>6</v>
      </c>
      <c r="O4" s="2">
        <f>COUNTIFS(Dependencies!$B$3:$B$76,A4,Dependencies!$I$3:$I$76,"Not Started")+COUNTIFS(Dependencies!$B$3:$B$76,A4,Dependencies!$I$3:$I$76,"Requested")+COUNTIFS(Dependencies!$B$3:$B$76,A4,Dependencies!$I$3:$I$76,"In Progress")+COUNTIFS(Dependencies!$B$3:$B$76,A4,Dependencies!$I$3:$I$76,"At Risk")+COUNTIFS(Dependencies!$B$3:$B$76,A4,Dependencies!$I$3:$I$76,"Blocked")</f>
        <v>10</v>
      </c>
    </row>
    <row r="5" spans="1:15" ht="21.75" customHeight="1">
      <c r="A5" s="2" t="s">
        <v>24</v>
      </c>
      <c r="B5" s="2" t="s">
        <v>25</v>
      </c>
      <c r="C5" s="2" t="s">
        <v>26</v>
      </c>
      <c r="D5" s="2" t="s">
        <v>27</v>
      </c>
      <c r="E5" s="2">
        <f>COUNTA('P5-S3'!C3:C33)</f>
        <v>31</v>
      </c>
      <c r="F5" s="2">
        <f>COUNTIF('P5-S3'!G3:G33,"Completed")</f>
        <v>0</v>
      </c>
      <c r="G5" s="2">
        <f>COUNTIF('P5-S3'!H3:H33,"Completed")</f>
        <v>0</v>
      </c>
      <c r="H5" s="2">
        <f>COUNTIF('P5-S3'!I3:I33,"Passed")</f>
        <v>0</v>
      </c>
      <c r="I5" s="2">
        <f>COUNTIF('P5-S3'!J3:J33,"Deployed")+COUNTIF('P5-S3'!J3:J33,"Verified")</f>
        <v>0</v>
      </c>
      <c r="J5" s="2">
        <f>COUNTIF('P5-S3'!K3:K33,"Deployed")+COUNTIF('P5-S3'!K3:K33,"Verified")</f>
        <v>0</v>
      </c>
      <c r="K5" s="2">
        <f>COUNTIF('P5-S3'!G3:G33,"Blocked")+COUNTIF('P5-S3'!H3:H33,"Blocked")</f>
        <v>0</v>
      </c>
      <c r="L5" s="3">
        <f>IFERROR((F5+G5)/(2*E5),0)</f>
        <v>0</v>
      </c>
      <c r="M5" s="2">
        <f>COUNTIF(Dependencies!$B$3:$B$76,A5)</f>
        <v>10</v>
      </c>
      <c r="N5" s="2">
        <f>COUNTIFS(Dependencies!$B$3:$B$76,A5,Dependencies!$E$3:$E$76,"External")</f>
        <v>2</v>
      </c>
      <c r="O5" s="2">
        <f>COUNTIFS(Dependencies!$B$3:$B$76,A5,Dependencies!$I$3:$I$76,"Not Started")+COUNTIFS(Dependencies!$B$3:$B$76,A5,Dependencies!$I$3:$I$76,"Requested")+COUNTIFS(Dependencies!$B$3:$B$76,A5,Dependencies!$I$3:$I$76,"In Progress")+COUNTIFS(Dependencies!$B$3:$B$76,A5,Dependencies!$I$3:$I$76,"At Risk")+COUNTIFS(Dependencies!$B$3:$B$76,A5,Dependencies!$I$3:$I$76,"Blocked")</f>
        <v>10</v>
      </c>
    </row>
    <row r="6" spans="1:15" ht="21.75" customHeight="1">
      <c r="A6" s="2" t="s">
        <v>28</v>
      </c>
      <c r="B6" s="2" t="s">
        <v>29</v>
      </c>
      <c r="C6" s="2" t="s">
        <v>30</v>
      </c>
      <c r="D6" s="2" t="s">
        <v>27</v>
      </c>
      <c r="E6" s="2">
        <f>COUNTA('P5-S4'!C3:C36)</f>
        <v>34</v>
      </c>
      <c r="F6" s="2">
        <f>COUNTIF('P5-S4'!G3:G36,"Completed")</f>
        <v>0</v>
      </c>
      <c r="G6" s="2">
        <f>COUNTIF('P5-S4'!H3:H36,"Completed")</f>
        <v>0</v>
      </c>
      <c r="H6" s="2">
        <f>COUNTIF('P5-S4'!I3:I36,"Passed")</f>
        <v>0</v>
      </c>
      <c r="I6" s="2">
        <f>COUNTIF('P5-S4'!J3:J36,"Deployed")+COUNTIF('P5-S4'!J3:J36,"Verified")</f>
        <v>0</v>
      </c>
      <c r="J6" s="2">
        <f>COUNTIF('P5-S4'!K3:K36,"Deployed")+COUNTIF('P5-S4'!K3:K36,"Verified")</f>
        <v>0</v>
      </c>
      <c r="K6" s="2">
        <f>COUNTIF('P5-S4'!G3:G36,"Blocked")+COUNTIF('P5-S4'!H3:H36,"Blocked")</f>
        <v>0</v>
      </c>
      <c r="L6" s="3">
        <f>IFERROR((F6+G6)/(2*E6),0)</f>
        <v>0</v>
      </c>
      <c r="M6" s="2">
        <f>COUNTIF(Dependencies!$B$3:$B$76,A6)</f>
        <v>15</v>
      </c>
      <c r="N6" s="2">
        <f>COUNTIFS(Dependencies!$B$3:$B$76,A6,Dependencies!$E$3:$E$76,"External")</f>
        <v>11</v>
      </c>
      <c r="O6" s="2">
        <f>COUNTIFS(Dependencies!$B$3:$B$76,A6,Dependencies!$I$3:$I$76,"Not Started")+COUNTIFS(Dependencies!$B$3:$B$76,A6,Dependencies!$I$3:$I$76,"Requested")+COUNTIFS(Dependencies!$B$3:$B$76,A6,Dependencies!$I$3:$I$76,"In Progress")+COUNTIFS(Dependencies!$B$3:$B$76,A6,Dependencies!$I$3:$I$76,"At Risk")+COUNTIFS(Dependencies!$B$3:$B$76,A6,Dependencies!$I$3:$I$76,"Blocked")</f>
        <v>15</v>
      </c>
    </row>
    <row r="7" spans="1:15" ht="21.75" customHeight="1">
      <c r="A7" s="2" t="s">
        <v>31</v>
      </c>
      <c r="B7" s="2" t="s">
        <v>32</v>
      </c>
      <c r="C7" s="2" t="s">
        <v>33</v>
      </c>
      <c r="D7" s="2" t="s">
        <v>34</v>
      </c>
      <c r="E7" s="2">
        <f>COUNTA('P5-S5'!C3:C32)</f>
        <v>30</v>
      </c>
      <c r="F7" s="2">
        <f>COUNTIF('P5-S5'!G3:G32,"Completed")</f>
        <v>0</v>
      </c>
      <c r="G7" s="2">
        <f>COUNTIF('P5-S5'!H3:H32,"Completed")</f>
        <v>0</v>
      </c>
      <c r="H7" s="2">
        <f>COUNTIF('P5-S5'!I3:I32,"Passed")</f>
        <v>0</v>
      </c>
      <c r="I7" s="2">
        <f>COUNTIF('P5-S5'!J3:J32,"Deployed")+COUNTIF('P5-S5'!J3:J32,"Verified")</f>
        <v>0</v>
      </c>
      <c r="J7" s="2">
        <f>COUNTIF('P5-S5'!K3:K32,"Deployed")+COUNTIF('P5-S5'!K3:K32,"Verified")</f>
        <v>0</v>
      </c>
      <c r="K7" s="2">
        <f>COUNTIF('P5-S5'!G3:G32,"Blocked")+COUNTIF('P5-S5'!H3:H32,"Blocked")</f>
        <v>0</v>
      </c>
      <c r="L7" s="3">
        <f>IFERROR((F7+G7)/(2*E7),0)</f>
        <v>0</v>
      </c>
      <c r="M7" s="2">
        <f>COUNTIF(Dependencies!$B$3:$B$76,A7)</f>
        <v>12</v>
      </c>
      <c r="N7" s="2">
        <f>COUNTIFS(Dependencies!$B$3:$B$76,A7,Dependencies!$E$3:$E$76,"External")</f>
        <v>5</v>
      </c>
      <c r="O7" s="2">
        <f>COUNTIFS(Dependencies!$B$3:$B$76,A7,Dependencies!$I$3:$I$76,"Not Started")+COUNTIFS(Dependencies!$B$3:$B$76,A7,Dependencies!$I$3:$I$76,"Requested")+COUNTIFS(Dependencies!$B$3:$B$76,A7,Dependencies!$I$3:$I$76,"In Progress")+COUNTIFS(Dependencies!$B$3:$B$76,A7,Dependencies!$I$3:$I$76,"At Risk")+COUNTIFS(Dependencies!$B$3:$B$76,A7,Dependencies!$I$3:$I$76,"Blocked")</f>
        <v>10</v>
      </c>
    </row>
    <row r="8" spans="1:15" ht="21.75" customHeight="1">
      <c r="A8" s="2" t="s">
        <v>35</v>
      </c>
      <c r="B8" s="2" t="s">
        <v>36</v>
      </c>
      <c r="C8" s="2" t="s">
        <v>37</v>
      </c>
      <c r="D8" s="2" t="s">
        <v>38</v>
      </c>
      <c r="E8" s="2">
        <f>COUNTA('P5-S6'!C3:C29)</f>
        <v>27</v>
      </c>
      <c r="F8" s="2">
        <f>COUNTIF('P5-S6'!G3:G29,"Completed")</f>
        <v>0</v>
      </c>
      <c r="G8" s="2">
        <f>COUNTIF('P5-S6'!H3:H29,"Completed")</f>
        <v>0</v>
      </c>
      <c r="H8" s="2">
        <f>COUNTIF('P5-S6'!I3:I29,"Passed")</f>
        <v>0</v>
      </c>
      <c r="I8" s="2">
        <f>COUNTIF('P5-S6'!J3:J29,"Deployed")+COUNTIF('P5-S6'!J3:J29,"Verified")</f>
        <v>0</v>
      </c>
      <c r="J8" s="2">
        <f>COUNTIF('P5-S6'!K3:K29,"Deployed")+COUNTIF('P5-S6'!K3:K29,"Verified")</f>
        <v>0</v>
      </c>
      <c r="K8" s="2">
        <f>COUNTIF('P5-S6'!G3:G29,"Blocked")+COUNTIF('P5-S6'!H3:H29,"Blocked")</f>
        <v>0</v>
      </c>
      <c r="L8" s="3">
        <f>IFERROR((F8+G8)/(2*E8),0)</f>
        <v>0</v>
      </c>
      <c r="M8" s="2">
        <f>COUNTIF(Dependencies!$B$3:$B$76,A8)</f>
        <v>13</v>
      </c>
      <c r="N8" s="2">
        <f>COUNTIFS(Dependencies!$B$3:$B$76,A8,Dependencies!$E$3:$E$76,"External")</f>
        <v>4</v>
      </c>
      <c r="O8" s="2">
        <f>COUNTIFS(Dependencies!$B$3:$B$76,A8,Dependencies!$I$3:$I$76,"Not Started")+COUNTIFS(Dependencies!$B$3:$B$76,A8,Dependencies!$I$3:$I$76,"Requested")+COUNTIFS(Dependencies!$B$3:$B$76,A8,Dependencies!$I$3:$I$76,"In Progress")+COUNTIFS(Dependencies!$B$3:$B$76,A8,Dependencies!$I$3:$I$76,"At Risk")+COUNTIFS(Dependencies!$B$3:$B$76,A8,Dependencies!$I$3:$I$76,"Blocked")</f>
        <v>13</v>
      </c>
    </row>
    <row r="9" spans="1:15" ht="21.75" customHeight="1">
      <c r="A9" s="4" t="s">
        <v>39</v>
      </c>
      <c r="B9" s="4"/>
      <c r="C9" s="4"/>
      <c r="D9" s="4"/>
      <c r="E9" s="4">
        <f>SUM(E3:E8)</f>
        <v>177</v>
      </c>
      <c r="F9" s="4">
        <f>SUM(F3:F8)</f>
        <v>31</v>
      </c>
      <c r="G9" s="4">
        <f>SUM(G3:G8)</f>
        <v>32</v>
      </c>
      <c r="H9" s="4">
        <f>SUM(H3:H8)</f>
        <v>0</v>
      </c>
      <c r="I9" s="4">
        <f>SUM(I3:I8)</f>
        <v>32</v>
      </c>
      <c r="J9" s="4">
        <f>SUM(J3:J8)</f>
        <v>0</v>
      </c>
      <c r="K9" s="4">
        <f>SUM(K3:K8)</f>
        <v>0</v>
      </c>
      <c r="L9" s="5">
        <f>IFERROR((F9+G9)/(2*E9),0)</f>
        <v>0.17796610169491525</v>
      </c>
      <c r="M9" s="4">
        <f>SUM(M3:M8)</f>
        <v>74</v>
      </c>
      <c r="N9" s="4">
        <f>SUM(N3:N8)</f>
        <v>30</v>
      </c>
      <c r="O9" s="4">
        <f>SUM(O3:O8)</f>
        <v>67</v>
      </c>
    </row>
    <row r="10" spans="1:15" ht="21.75" customHeight="1"/>
    <row r="11" spans="1:15" ht="21.75" customHeight="1"/>
    <row r="12" spans="1:15" ht="21.75" customHeight="1"/>
    <row r="13" spans="1:15" ht="21.75" customHeight="1"/>
    <row r="14" spans="1:15" ht="21.75" customHeight="1"/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9"/>
  <sheetViews>
    <sheetView showGridLines="0" zoomScaleNormal="100" workbookViewId="0">
      <pane xSplit="3" ySplit="2" topLeftCell="D3" activePane="bottomRight" state="frozen"/>
      <selection pane="bottomRight" activeCell="D27" sqref="D27"/>
      <selection pane="bottomLeft" activeCell="A59" sqref="A59"/>
      <selection pane="topRight" activeCell="D1" sqref="D1"/>
    </sheetView>
  </sheetViews>
  <sheetFormatPr defaultColWidth="8.7109375" defaultRowHeight="15"/>
  <cols>
    <col min="1" max="1" width="6" customWidth="1"/>
    <col min="2" max="2" width="9" customWidth="1"/>
    <col min="3" max="3" width="28" customWidth="1"/>
    <col min="4" max="4" width="48" customWidth="1"/>
    <col min="5" max="5" width="22.28515625" customWidth="1"/>
    <col min="6" max="6" width="12" customWidth="1"/>
    <col min="7" max="7" width="10" customWidth="1"/>
    <col min="8" max="9" width="15" customWidth="1"/>
    <col min="10" max="10" width="14" customWidth="1"/>
    <col min="11" max="13" width="16" customWidth="1"/>
    <col min="14" max="14" width="13" customWidth="1"/>
    <col min="15" max="15" width="38" customWidth="1"/>
  </cols>
  <sheetData>
    <row r="1" spans="1:15" ht="24" customHeight="1">
      <c r="A1" s="17" t="s">
        <v>40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27.75" customHeight="1">
      <c r="A2" s="1" t="s">
        <v>41</v>
      </c>
      <c r="B2" s="1" t="s">
        <v>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1" t="s">
        <v>53</v>
      </c>
      <c r="O2" s="1" t="s">
        <v>54</v>
      </c>
    </row>
    <row r="3" spans="1:15" ht="25.5" customHeight="1">
      <c r="A3" s="2">
        <v>1</v>
      </c>
      <c r="B3" s="2" t="s">
        <v>16</v>
      </c>
      <c r="C3" s="6" t="s">
        <v>55</v>
      </c>
      <c r="D3" s="6" t="s">
        <v>56</v>
      </c>
      <c r="E3" s="2" t="s">
        <v>57</v>
      </c>
      <c r="F3" s="2" t="s">
        <v>58</v>
      </c>
      <c r="G3" s="2" t="s">
        <v>59</v>
      </c>
      <c r="H3" s="2" t="str">
        <f>IF('P5-S1'!G3="","",'P5-S1'!G3)</f>
        <v>Completed</v>
      </c>
      <c r="I3" s="2" t="str">
        <f>IF('P5-S1'!H3="","",'P5-S1'!H3)</f>
        <v>Completed</v>
      </c>
      <c r="J3" s="2" t="str">
        <f>IF('P5-S1'!I3="","",'P5-S1'!I3)</f>
        <v>Not Started</v>
      </c>
      <c r="K3" s="2" t="str">
        <f>IF('P5-S1'!J3="","",'P5-S1'!J3)</f>
        <v>Deployed</v>
      </c>
      <c r="L3" s="2" t="str">
        <f>IF('P5-S1'!K3="","",'P5-S1'!K3)</f>
        <v>Not Deployed</v>
      </c>
      <c r="M3" s="7" t="str">
        <f>IF('P5-S1'!L3="","",'P5-S1'!L3)</f>
        <v>Gokul</v>
      </c>
      <c r="N3" s="2" t="str">
        <f>IF('P5-S1'!M3="","",'P5-S1'!M3)</f>
        <v/>
      </c>
      <c r="O3" s="6" t="str">
        <f>IF('P5-S1'!N3="","",'P5-S1'!N3)</f>
        <v/>
      </c>
    </row>
    <row r="4" spans="1:15" ht="25.5" customHeight="1">
      <c r="A4" s="2">
        <v>2</v>
      </c>
      <c r="B4" s="2" t="s">
        <v>16</v>
      </c>
      <c r="C4" s="6" t="s">
        <v>55</v>
      </c>
      <c r="D4" s="6" t="s">
        <v>60</v>
      </c>
      <c r="E4" s="2" t="s">
        <v>57</v>
      </c>
      <c r="F4" s="2" t="s">
        <v>58</v>
      </c>
      <c r="G4" s="2" t="s">
        <v>59</v>
      </c>
      <c r="H4" s="2" t="str">
        <f>IF('P5-S1'!G4="","",'P5-S1'!G4)</f>
        <v>Completed</v>
      </c>
      <c r="I4" s="2" t="str">
        <f>IF('P5-S1'!H4="","",'P5-S1'!H4)</f>
        <v>Completed</v>
      </c>
      <c r="J4" s="2" t="str">
        <f>IF('P5-S1'!I4="","",'P5-S1'!I4)</f>
        <v>Not Started</v>
      </c>
      <c r="K4" s="2" t="str">
        <f>IF('P5-S1'!J4="","",'P5-S1'!J4)</f>
        <v>Deployed</v>
      </c>
      <c r="L4" s="2" t="str">
        <f>IF('P5-S1'!K4="","",'P5-S1'!K4)</f>
        <v>Not Deployed</v>
      </c>
      <c r="M4" s="7" t="str">
        <f>IF('P5-S1'!L4="","",'P5-S1'!L4)</f>
        <v>Gokul</v>
      </c>
      <c r="N4" s="2" t="str">
        <f>IF('P5-S1'!M4="","",'P5-S1'!M4)</f>
        <v/>
      </c>
      <c r="O4" s="6" t="str">
        <f>IF('P5-S1'!N4="","",'P5-S1'!N4)</f>
        <v/>
      </c>
    </row>
    <row r="5" spans="1:15" ht="25.5" customHeight="1">
      <c r="A5" s="2">
        <v>3</v>
      </c>
      <c r="B5" s="2" t="s">
        <v>16</v>
      </c>
      <c r="C5" s="6" t="s">
        <v>55</v>
      </c>
      <c r="D5" s="6" t="s">
        <v>61</v>
      </c>
      <c r="E5" s="2" t="s">
        <v>57</v>
      </c>
      <c r="F5" s="2" t="s">
        <v>58</v>
      </c>
      <c r="G5" s="2" t="s">
        <v>59</v>
      </c>
      <c r="H5" s="2" t="str">
        <f>IF('P5-S1'!G5="","",'P5-S1'!G5)</f>
        <v>Completed</v>
      </c>
      <c r="I5" s="2" t="str">
        <f>IF('P5-S1'!H5="","",'P5-S1'!H5)</f>
        <v>Completed</v>
      </c>
      <c r="J5" s="2" t="str">
        <f>IF('P5-S1'!I5="","",'P5-S1'!I5)</f>
        <v>Not Started</v>
      </c>
      <c r="K5" s="2" t="str">
        <f>IF('P5-S1'!J5="","",'P5-S1'!J5)</f>
        <v>Deployed</v>
      </c>
      <c r="L5" s="2" t="str">
        <f>IF('P5-S1'!K5="","",'P5-S1'!K5)</f>
        <v>Not Deployed</v>
      </c>
      <c r="M5" s="7" t="str">
        <f>IF('P5-S1'!L5="","",'P5-S1'!L5)</f>
        <v>Gokul</v>
      </c>
      <c r="N5" s="2" t="str">
        <f>IF('P5-S1'!M5="","",'P5-S1'!M5)</f>
        <v/>
      </c>
      <c r="O5" s="6" t="str">
        <f>IF('P5-S1'!N5="","",'P5-S1'!N5)</f>
        <v/>
      </c>
    </row>
    <row r="6" spans="1:15" ht="25.5" customHeight="1">
      <c r="A6" s="2">
        <v>4</v>
      </c>
      <c r="B6" s="2" t="s">
        <v>16</v>
      </c>
      <c r="C6" s="6" t="s">
        <v>55</v>
      </c>
      <c r="D6" s="6" t="s">
        <v>62</v>
      </c>
      <c r="E6" s="2" t="s">
        <v>57</v>
      </c>
      <c r="F6" s="2" t="s">
        <v>58</v>
      </c>
      <c r="G6" s="2" t="s">
        <v>59</v>
      </c>
      <c r="H6" s="2" t="str">
        <f>IF('P5-S1'!G6="","",'P5-S1'!G6)</f>
        <v>Completed</v>
      </c>
      <c r="I6" s="2" t="str">
        <f>IF('P5-S1'!H6="","",'P5-S1'!H6)</f>
        <v>Completed</v>
      </c>
      <c r="J6" s="2" t="str">
        <f>IF('P5-S1'!I6="","",'P5-S1'!I6)</f>
        <v>Not Started</v>
      </c>
      <c r="K6" s="2" t="str">
        <f>IF('P5-S1'!J6="","",'P5-S1'!J6)</f>
        <v>Deployed</v>
      </c>
      <c r="L6" s="2" t="str">
        <f>IF('P5-S1'!K6="","",'P5-S1'!K6)</f>
        <v>Not Deployed</v>
      </c>
      <c r="M6" s="7" t="str">
        <f>IF('P5-S1'!L6="","",'P5-S1'!L6)</f>
        <v>Ehthikash</v>
      </c>
      <c r="N6" s="2" t="str">
        <f>IF('P5-S1'!M6="","",'P5-S1'!M6)</f>
        <v/>
      </c>
      <c r="O6" s="6" t="str">
        <f>IF('P5-S1'!N6="","",'P5-S1'!N6)</f>
        <v/>
      </c>
    </row>
    <row r="7" spans="1:15" ht="25.5" customHeight="1">
      <c r="A7" s="2">
        <v>5</v>
      </c>
      <c r="B7" s="2" t="s">
        <v>16</v>
      </c>
      <c r="C7" s="6" t="s">
        <v>55</v>
      </c>
      <c r="D7" s="6" t="s">
        <v>63</v>
      </c>
      <c r="E7" s="2" t="s">
        <v>57</v>
      </c>
      <c r="F7" s="2" t="s">
        <v>58</v>
      </c>
      <c r="G7" s="2" t="s">
        <v>59</v>
      </c>
      <c r="H7" s="2" t="str">
        <f>IF('P5-S1'!G7="","",'P5-S1'!G7)</f>
        <v>Completed</v>
      </c>
      <c r="I7" s="2" t="str">
        <f>IF('P5-S1'!H7="","",'P5-S1'!H7)</f>
        <v>Completed</v>
      </c>
      <c r="J7" s="2" t="str">
        <f>IF('P5-S1'!I7="","",'P5-S1'!I7)</f>
        <v>Not Started</v>
      </c>
      <c r="K7" s="2" t="str">
        <f>IF('P5-S1'!J7="","",'P5-S1'!J7)</f>
        <v>Deployed</v>
      </c>
      <c r="L7" s="2" t="str">
        <f>IF('P5-S1'!K7="","",'P5-S1'!K7)</f>
        <v>Not Deployed</v>
      </c>
      <c r="M7" s="7" t="str">
        <f>IF('P5-S1'!L7="","",'P5-S1'!L7)</f>
        <v>Ehthikash</v>
      </c>
      <c r="N7" s="2" t="str">
        <f>IF('P5-S1'!M7="","",'P5-S1'!M7)</f>
        <v/>
      </c>
      <c r="O7" s="6" t="str">
        <f>IF('P5-S1'!N7="","",'P5-S1'!N7)</f>
        <v/>
      </c>
    </row>
    <row r="8" spans="1:15" ht="25.5" customHeight="1">
      <c r="A8" s="2">
        <v>6</v>
      </c>
      <c r="B8" s="2" t="s">
        <v>16</v>
      </c>
      <c r="C8" s="6" t="s">
        <v>55</v>
      </c>
      <c r="D8" s="6" t="s">
        <v>64</v>
      </c>
      <c r="E8" s="2" t="s">
        <v>57</v>
      </c>
      <c r="F8" s="2" t="s">
        <v>65</v>
      </c>
      <c r="G8" s="2" t="s">
        <v>59</v>
      </c>
      <c r="H8" s="2" t="str">
        <f>IF('P5-S1'!G8="","",'P5-S1'!G8)</f>
        <v>Completed</v>
      </c>
      <c r="I8" s="2" t="str">
        <f>IF('P5-S1'!H8="","",'P5-S1'!H8)</f>
        <v>Completed</v>
      </c>
      <c r="J8" s="2" t="str">
        <f>IF('P5-S1'!I8="","",'P5-S1'!I8)</f>
        <v>Not Started</v>
      </c>
      <c r="K8" s="2" t="str">
        <f>IF('P5-S1'!J8="","",'P5-S1'!J8)</f>
        <v>Deployed</v>
      </c>
      <c r="L8" s="2" t="str">
        <f>IF('P5-S1'!K8="","",'P5-S1'!K8)</f>
        <v>Not Deployed</v>
      </c>
      <c r="M8" s="7" t="str">
        <f>IF('P5-S1'!L8="","",'P5-S1'!L8)</f>
        <v>Ehthikash</v>
      </c>
      <c r="N8" s="2" t="str">
        <f>IF('P5-S1'!M8="","",'P5-S1'!M8)</f>
        <v/>
      </c>
      <c r="O8" s="6" t="str">
        <f>IF('P5-S1'!N8="","",'P5-S1'!N8)</f>
        <v/>
      </c>
    </row>
    <row r="9" spans="1:15" ht="25.5" customHeight="1">
      <c r="A9" s="2">
        <v>7</v>
      </c>
      <c r="B9" s="2" t="s">
        <v>16</v>
      </c>
      <c r="C9" s="6" t="s">
        <v>55</v>
      </c>
      <c r="D9" s="6" t="s">
        <v>66</v>
      </c>
      <c r="E9" s="2" t="s">
        <v>57</v>
      </c>
      <c r="F9" s="2" t="s">
        <v>58</v>
      </c>
      <c r="G9" s="2" t="s">
        <v>59</v>
      </c>
      <c r="H9" s="2" t="str">
        <f>IF('P5-S1'!G9="","",'P5-S1'!G9)</f>
        <v>Completed</v>
      </c>
      <c r="I9" s="2" t="str">
        <f>IF('P5-S1'!H9="","",'P5-S1'!H9)</f>
        <v>Completed</v>
      </c>
      <c r="J9" s="2" t="str">
        <f>IF('P5-S1'!I9="","",'P5-S1'!I9)</f>
        <v>Not Started</v>
      </c>
      <c r="K9" s="2" t="str">
        <f>IF('P5-S1'!J9="","",'P5-S1'!J9)</f>
        <v>Deployed</v>
      </c>
      <c r="L9" s="2" t="str">
        <f>IF('P5-S1'!K9="","",'P5-S1'!K9)</f>
        <v>Not Deployed</v>
      </c>
      <c r="M9" s="7" t="str">
        <f>IF('P5-S1'!L9="","",'P5-S1'!L9)</f>
        <v>Ehthikash</v>
      </c>
      <c r="N9" s="2" t="str">
        <f>IF('P5-S1'!M9="","",'P5-S1'!M9)</f>
        <v/>
      </c>
      <c r="O9" s="6" t="str">
        <f>IF('P5-S1'!N9="","",'P5-S1'!N9)</f>
        <v/>
      </c>
    </row>
    <row r="10" spans="1:15" ht="25.5" customHeight="1">
      <c r="A10" s="2">
        <v>8</v>
      </c>
      <c r="B10" s="2" t="s">
        <v>16</v>
      </c>
      <c r="C10" s="6" t="s">
        <v>55</v>
      </c>
      <c r="D10" s="6" t="s">
        <v>67</v>
      </c>
      <c r="E10" s="2" t="s">
        <v>57</v>
      </c>
      <c r="F10" s="2" t="s">
        <v>58</v>
      </c>
      <c r="G10" s="2" t="s">
        <v>68</v>
      </c>
      <c r="H10" s="2" t="str">
        <f>IF('P5-S1'!G10="","",'P5-S1'!G10)</f>
        <v>Completed</v>
      </c>
      <c r="I10" s="2" t="str">
        <f>IF('P5-S1'!H10="","",'P5-S1'!H10)</f>
        <v>Completed</v>
      </c>
      <c r="J10" s="2" t="str">
        <f>IF('P5-S1'!I10="","",'P5-S1'!I10)</f>
        <v>Not Started</v>
      </c>
      <c r="K10" s="2" t="str">
        <f>IF('P5-S1'!J10="","",'P5-S1'!J10)</f>
        <v>Deployed</v>
      </c>
      <c r="L10" s="2" t="str">
        <f>IF('P5-S1'!K10="","",'P5-S1'!K10)</f>
        <v>Not Deployed</v>
      </c>
      <c r="M10" s="7" t="str">
        <f>IF('P5-S1'!L10="","",'P5-S1'!L10)</f>
        <v>Ehthikash</v>
      </c>
      <c r="N10" s="2" t="str">
        <f>IF('P5-S1'!M10="","",'P5-S1'!M10)</f>
        <v/>
      </c>
      <c r="O10" s="6" t="str">
        <f>IF('P5-S1'!N10="","",'P5-S1'!N10)</f>
        <v/>
      </c>
    </row>
    <row r="11" spans="1:15" ht="25.5" customHeight="1">
      <c r="A11" s="2">
        <v>9</v>
      </c>
      <c r="B11" s="2" t="s">
        <v>16</v>
      </c>
      <c r="C11" s="6" t="s">
        <v>69</v>
      </c>
      <c r="D11" s="6" t="s">
        <v>70</v>
      </c>
      <c r="E11" s="2" t="s">
        <v>71</v>
      </c>
      <c r="F11" s="2" t="s">
        <v>65</v>
      </c>
      <c r="G11" s="2" t="s">
        <v>59</v>
      </c>
      <c r="H11" s="2" t="str">
        <f>IF('P5-S1'!G11="","",'P5-S1'!G11)</f>
        <v>Completed</v>
      </c>
      <c r="I11" s="2" t="str">
        <f>IF('P5-S1'!H11="","",'P5-S1'!H11)</f>
        <v>Completed</v>
      </c>
      <c r="J11" s="2" t="str">
        <f>IF('P5-S1'!I11="","",'P5-S1'!I11)</f>
        <v>Not Started</v>
      </c>
      <c r="K11" s="2" t="str">
        <f>IF('P5-S1'!J11="","",'P5-S1'!J11)</f>
        <v>Deployed</v>
      </c>
      <c r="L11" s="2" t="str">
        <f>IF('P5-S1'!K11="","",'P5-S1'!K11)</f>
        <v>Not Deployed</v>
      </c>
      <c r="M11" s="7" t="str">
        <f>IF('P5-S1'!L11="","",'P5-S1'!L11)</f>
        <v>Harish</v>
      </c>
      <c r="N11" s="2" t="str">
        <f>IF('P5-S1'!M11="","",'P5-S1'!M11)</f>
        <v/>
      </c>
      <c r="O11" s="6" t="str">
        <f>IF('P5-S1'!N11="","",'P5-S1'!N11)</f>
        <v/>
      </c>
    </row>
    <row r="12" spans="1:15" ht="25.5" customHeight="1">
      <c r="A12" s="2">
        <v>10</v>
      </c>
      <c r="B12" s="2" t="s">
        <v>16</v>
      </c>
      <c r="C12" s="6" t="s">
        <v>69</v>
      </c>
      <c r="D12" s="6" t="s">
        <v>72</v>
      </c>
      <c r="E12" s="2" t="s">
        <v>71</v>
      </c>
      <c r="F12" s="2" t="s">
        <v>65</v>
      </c>
      <c r="G12" s="2" t="s">
        <v>59</v>
      </c>
      <c r="H12" s="2" t="str">
        <f>IF('P5-S1'!G12="","",'P5-S1'!G12)</f>
        <v>Completed</v>
      </c>
      <c r="I12" s="2" t="str">
        <f>IF('P5-S1'!H12="","",'P5-S1'!H12)</f>
        <v>Completed</v>
      </c>
      <c r="J12" s="2" t="str">
        <f>IF('P5-S1'!I12="","",'P5-S1'!I12)</f>
        <v>Not Started</v>
      </c>
      <c r="K12" s="2" t="str">
        <f>IF('P5-S1'!J12="","",'P5-S1'!J12)</f>
        <v>Deployed</v>
      </c>
      <c r="L12" s="2" t="str">
        <f>IF('P5-S1'!K12="","",'P5-S1'!K12)</f>
        <v>Not Deployed</v>
      </c>
      <c r="M12" s="7" t="str">
        <f>IF('P5-S1'!L12="","",'P5-S1'!L12)</f>
        <v>Harish</v>
      </c>
      <c r="N12" s="2" t="str">
        <f>IF('P5-S1'!M12="","",'P5-S1'!M12)</f>
        <v/>
      </c>
      <c r="O12" s="6" t="str">
        <f>IF('P5-S1'!N12="","",'P5-S1'!N12)</f>
        <v/>
      </c>
    </row>
    <row r="13" spans="1:15" ht="25.5" customHeight="1">
      <c r="A13" s="2">
        <v>11</v>
      </c>
      <c r="B13" s="2" t="s">
        <v>16</v>
      </c>
      <c r="C13" s="6" t="s">
        <v>69</v>
      </c>
      <c r="D13" s="6" t="s">
        <v>73</v>
      </c>
      <c r="E13" s="2" t="s">
        <v>71</v>
      </c>
      <c r="F13" s="2" t="s">
        <v>65</v>
      </c>
      <c r="G13" s="2" t="s">
        <v>59</v>
      </c>
      <c r="H13" s="2" t="str">
        <f>IF('P5-S1'!G13="","",'P5-S1'!G13)</f>
        <v>Completed</v>
      </c>
      <c r="I13" s="2" t="str">
        <f>IF('P5-S1'!H13="","",'P5-S1'!H13)</f>
        <v>Completed</v>
      </c>
      <c r="J13" s="2" t="str">
        <f>IF('P5-S1'!I13="","",'P5-S1'!I13)</f>
        <v>Not Started</v>
      </c>
      <c r="K13" s="2" t="str">
        <f>IF('P5-S1'!J13="","",'P5-S1'!J13)</f>
        <v>Deployed</v>
      </c>
      <c r="L13" s="2" t="str">
        <f>IF('P5-S1'!K13="","",'P5-S1'!K13)</f>
        <v>Not Deployed</v>
      </c>
      <c r="M13" s="7" t="str">
        <f>IF('P5-S1'!L13="","",'P5-S1'!L13)</f>
        <v>Harish</v>
      </c>
      <c r="N13" s="2" t="str">
        <f>IF('P5-S1'!M13="","",'P5-S1'!M13)</f>
        <v/>
      </c>
      <c r="O13" s="6" t="str">
        <f>IF('P5-S1'!N13="","",'P5-S1'!N13)</f>
        <v/>
      </c>
    </row>
    <row r="14" spans="1:15" ht="25.5" customHeight="1">
      <c r="A14" s="2">
        <v>12</v>
      </c>
      <c r="B14" s="2" t="s">
        <v>16</v>
      </c>
      <c r="C14" s="6" t="s">
        <v>69</v>
      </c>
      <c r="D14" s="6" t="s">
        <v>74</v>
      </c>
      <c r="E14" s="2" t="s">
        <v>71</v>
      </c>
      <c r="F14" s="2" t="s">
        <v>65</v>
      </c>
      <c r="G14" s="2" t="s">
        <v>59</v>
      </c>
      <c r="H14" s="2" t="str">
        <f>IF('P5-S1'!G14="","",'P5-S1'!G14)</f>
        <v>Completed</v>
      </c>
      <c r="I14" s="2" t="str">
        <f>IF('P5-S1'!H14="","",'P5-S1'!H14)</f>
        <v>Completed</v>
      </c>
      <c r="J14" s="2" t="str">
        <f>IF('P5-S1'!I14="","",'P5-S1'!I14)</f>
        <v>Not Started</v>
      </c>
      <c r="K14" s="2" t="str">
        <f>IF('P5-S1'!J14="","",'P5-S1'!J14)</f>
        <v>Deployed</v>
      </c>
      <c r="L14" s="2" t="str">
        <f>IF('P5-S1'!K14="","",'P5-S1'!K14)</f>
        <v>Not Deployed</v>
      </c>
      <c r="M14" s="7" t="str">
        <f>IF('P5-S1'!L14="","",'P5-S1'!L14)</f>
        <v>Aarthy</v>
      </c>
      <c r="N14" s="2" t="str">
        <f>IF('P5-S1'!M14="","",'P5-S1'!M14)</f>
        <v/>
      </c>
      <c r="O14" s="6" t="str">
        <f>IF('P5-S1'!N14="","",'P5-S1'!N14)</f>
        <v/>
      </c>
    </row>
    <row r="15" spans="1:15" ht="25.5" customHeight="1">
      <c r="A15" s="2">
        <v>13</v>
      </c>
      <c r="B15" s="2" t="s">
        <v>16</v>
      </c>
      <c r="C15" s="6" t="s">
        <v>69</v>
      </c>
      <c r="D15" s="6" t="s">
        <v>75</v>
      </c>
      <c r="E15" s="2" t="s">
        <v>71</v>
      </c>
      <c r="F15" s="2" t="s">
        <v>65</v>
      </c>
      <c r="G15" s="2" t="s">
        <v>68</v>
      </c>
      <c r="H15" s="2" t="str">
        <f>IF('P5-S1'!G15="","",'P5-S1'!G15)</f>
        <v>Completed</v>
      </c>
      <c r="I15" s="2" t="str">
        <f>IF('P5-S1'!H15="","",'P5-S1'!H15)</f>
        <v>Completed</v>
      </c>
      <c r="J15" s="2" t="str">
        <f>IF('P5-S1'!I15="","",'P5-S1'!I15)</f>
        <v>Not Started</v>
      </c>
      <c r="K15" s="2" t="str">
        <f>IF('P5-S1'!J15="","",'P5-S1'!J15)</f>
        <v>Deployed</v>
      </c>
      <c r="L15" s="2" t="str">
        <f>IF('P5-S1'!K15="","",'P5-S1'!K15)</f>
        <v>Not Deployed</v>
      </c>
      <c r="M15" s="7" t="str">
        <f>IF('P5-S1'!L15="","",'P5-S1'!L15)</f>
        <v>Harish</v>
      </c>
      <c r="N15" s="2" t="str">
        <f>IF('P5-S1'!M15="","",'P5-S1'!M15)</f>
        <v/>
      </c>
      <c r="O15" s="6" t="str">
        <f>IF('P5-S1'!N15="","",'P5-S1'!N15)</f>
        <v/>
      </c>
    </row>
    <row r="16" spans="1:15" ht="25.5" customHeight="1">
      <c r="A16" s="2">
        <v>14</v>
      </c>
      <c r="B16" s="2" t="s">
        <v>16</v>
      </c>
      <c r="C16" s="6" t="s">
        <v>69</v>
      </c>
      <c r="D16" s="6" t="s">
        <v>76</v>
      </c>
      <c r="E16" s="2" t="s">
        <v>71</v>
      </c>
      <c r="F16" s="2" t="s">
        <v>77</v>
      </c>
      <c r="G16" s="2" t="s">
        <v>68</v>
      </c>
      <c r="H16" s="2" t="str">
        <f>IF('P5-S1'!G16="","",'P5-S1'!G16)</f>
        <v>Completed</v>
      </c>
      <c r="I16" s="2" t="str">
        <f>IF('P5-S1'!H16="","",'P5-S1'!H16)</f>
        <v>Completed</v>
      </c>
      <c r="J16" s="2" t="str">
        <f>IF('P5-S1'!I16="","",'P5-S1'!I16)</f>
        <v>Not Started</v>
      </c>
      <c r="K16" s="2" t="str">
        <f>IF('P5-S1'!J16="","",'P5-S1'!J16)</f>
        <v>Deployed</v>
      </c>
      <c r="L16" s="2" t="str">
        <f>IF('P5-S1'!K16="","",'P5-S1'!K16)</f>
        <v>Not Deployed</v>
      </c>
      <c r="M16" s="7" t="str">
        <f>IF('P5-S1'!L16="","",'P5-S1'!L16)</f>
        <v>Harish</v>
      </c>
      <c r="N16" s="2" t="str">
        <f>IF('P5-S1'!M16="","",'P5-S1'!M16)</f>
        <v/>
      </c>
      <c r="O16" s="6" t="str">
        <f>IF('P5-S1'!N16="","",'P5-S1'!N16)</f>
        <v/>
      </c>
    </row>
    <row r="17" spans="1:15" ht="25.5" customHeight="1">
      <c r="A17" s="2">
        <v>15</v>
      </c>
      <c r="B17" s="2" t="s">
        <v>16</v>
      </c>
      <c r="C17" s="6" t="s">
        <v>78</v>
      </c>
      <c r="D17" s="6" t="s">
        <v>79</v>
      </c>
      <c r="E17" s="2" t="s">
        <v>80</v>
      </c>
      <c r="F17" s="2" t="s">
        <v>58</v>
      </c>
      <c r="G17" s="2" t="s">
        <v>59</v>
      </c>
      <c r="H17" s="2" t="str">
        <f>IF('P5-S1'!G17="","",'P5-S1'!G17)</f>
        <v>Completed</v>
      </c>
      <c r="I17" s="2" t="str">
        <f>IF('P5-S1'!H17="","",'P5-S1'!H17)</f>
        <v>Completed</v>
      </c>
      <c r="J17" s="2" t="str">
        <f>IF('P5-S1'!I17="","",'P5-S1'!I17)</f>
        <v>Not Started</v>
      </c>
      <c r="K17" s="2" t="str">
        <f>IF('P5-S1'!J17="","",'P5-S1'!J17)</f>
        <v>Deployed</v>
      </c>
      <c r="L17" s="2" t="str">
        <f>IF('P5-S1'!K17="","",'P5-S1'!K17)</f>
        <v>Not Deployed</v>
      </c>
      <c r="M17" s="7" t="str">
        <f>IF('P5-S1'!L17="","",'P5-S1'!L17)</f>
        <v>Livesh</v>
      </c>
      <c r="N17" s="2" t="str">
        <f>IF('P5-S1'!M17="","",'P5-S1'!M17)</f>
        <v/>
      </c>
      <c r="O17" s="6" t="str">
        <f>IF('P5-S1'!N17="","",'P5-S1'!N17)</f>
        <v/>
      </c>
    </row>
    <row r="18" spans="1:15" ht="25.5" customHeight="1">
      <c r="A18" s="2">
        <v>16</v>
      </c>
      <c r="B18" s="2" t="s">
        <v>16</v>
      </c>
      <c r="C18" s="6" t="s">
        <v>78</v>
      </c>
      <c r="D18" s="6" t="s">
        <v>81</v>
      </c>
      <c r="E18" s="2" t="s">
        <v>80</v>
      </c>
      <c r="F18" s="2" t="s">
        <v>58</v>
      </c>
      <c r="G18" s="2" t="s">
        <v>59</v>
      </c>
      <c r="H18" s="2" t="str">
        <f>IF('P5-S1'!G18="","",'P5-S1'!G18)</f>
        <v>Completed</v>
      </c>
      <c r="I18" s="2" t="str">
        <f>IF('P5-S1'!H18="","",'P5-S1'!H18)</f>
        <v>Completed</v>
      </c>
      <c r="J18" s="2" t="str">
        <f>IF('P5-S1'!I18="","",'P5-S1'!I18)</f>
        <v>Not Started</v>
      </c>
      <c r="K18" s="2" t="str">
        <f>IF('P5-S1'!J18="","",'P5-S1'!J18)</f>
        <v>Deployed</v>
      </c>
      <c r="L18" s="2" t="str">
        <f>IF('P5-S1'!K18="","",'P5-S1'!K18)</f>
        <v>Not Deployed</v>
      </c>
      <c r="M18" s="7" t="str">
        <f>IF('P5-S1'!L18="","",'P5-S1'!L18)</f>
        <v>Livesh</v>
      </c>
      <c r="N18" s="2" t="str">
        <f>IF('P5-S1'!M18="","",'P5-S1'!M18)</f>
        <v/>
      </c>
      <c r="O18" s="6" t="str">
        <f>IF('P5-S1'!N18="","",'P5-S1'!N18)</f>
        <v/>
      </c>
    </row>
    <row r="19" spans="1:15" ht="25.5" customHeight="1">
      <c r="A19" s="2">
        <v>17</v>
      </c>
      <c r="B19" s="2" t="s">
        <v>16</v>
      </c>
      <c r="C19" s="6" t="s">
        <v>78</v>
      </c>
      <c r="D19" s="6" t="s">
        <v>82</v>
      </c>
      <c r="E19" s="2" t="s">
        <v>80</v>
      </c>
      <c r="F19" s="2" t="s">
        <v>58</v>
      </c>
      <c r="G19" s="2" t="s">
        <v>59</v>
      </c>
      <c r="H19" s="2" t="str">
        <f>IF('P5-S1'!G19="","",'P5-S1'!G19)</f>
        <v>Completed</v>
      </c>
      <c r="I19" s="2" t="str">
        <f>IF('P5-S1'!H19="","",'P5-S1'!H19)</f>
        <v>Completed</v>
      </c>
      <c r="J19" s="2" t="str">
        <f>IF('P5-S1'!I19="","",'P5-S1'!I19)</f>
        <v>Not Started</v>
      </c>
      <c r="K19" s="2" t="str">
        <f>IF('P5-S1'!J19="","",'P5-S1'!J19)</f>
        <v>Deployed</v>
      </c>
      <c r="L19" s="2" t="str">
        <f>IF('P5-S1'!K19="","",'P5-S1'!K19)</f>
        <v>Not Deployed</v>
      </c>
      <c r="M19" s="7" t="str">
        <f>IF('P5-S1'!L19="","",'P5-S1'!L19)</f>
        <v>Livesh</v>
      </c>
      <c r="N19" s="2" t="str">
        <f>IF('P5-S1'!M19="","",'P5-S1'!M19)</f>
        <v/>
      </c>
      <c r="O19" s="6" t="str">
        <f>IF('P5-S1'!N19="","",'P5-S1'!N19)</f>
        <v/>
      </c>
    </row>
    <row r="20" spans="1:15" ht="25.5" customHeight="1">
      <c r="A20" s="2">
        <v>18</v>
      </c>
      <c r="B20" s="2" t="s">
        <v>16</v>
      </c>
      <c r="C20" s="6" t="s">
        <v>78</v>
      </c>
      <c r="D20" s="6" t="s">
        <v>83</v>
      </c>
      <c r="E20" s="2" t="s">
        <v>80</v>
      </c>
      <c r="F20" s="2" t="s">
        <v>58</v>
      </c>
      <c r="G20" s="2" t="s">
        <v>59</v>
      </c>
      <c r="H20" s="2" t="str">
        <f>IF('P5-S1'!G20="","",'P5-S1'!G20)</f>
        <v>Completed</v>
      </c>
      <c r="I20" s="2" t="str">
        <f>IF('P5-S1'!H20="","",'P5-S1'!H20)</f>
        <v>Completed</v>
      </c>
      <c r="J20" s="2" t="str">
        <f>IF('P5-S1'!I20="","",'P5-S1'!I20)</f>
        <v>Not Started</v>
      </c>
      <c r="K20" s="2" t="str">
        <f>IF('P5-S1'!J20="","",'P5-S1'!J20)</f>
        <v>Deployed</v>
      </c>
      <c r="L20" s="2" t="str">
        <f>IF('P5-S1'!K20="","",'P5-S1'!K20)</f>
        <v>Not Deployed</v>
      </c>
      <c r="M20" s="7" t="str">
        <f>IF('P5-S1'!L20="","",'P5-S1'!L20)</f>
        <v>Livesh</v>
      </c>
      <c r="N20" s="2" t="str">
        <f>IF('P5-S1'!M20="","",'P5-S1'!M20)</f>
        <v/>
      </c>
      <c r="O20" s="6" t="str">
        <f>IF('P5-S1'!N20="","",'P5-S1'!N20)</f>
        <v/>
      </c>
    </row>
    <row r="21" spans="1:15" ht="25.5" customHeight="1">
      <c r="A21" s="2">
        <v>19</v>
      </c>
      <c r="B21" s="2" t="s">
        <v>16</v>
      </c>
      <c r="C21" s="6" t="s">
        <v>78</v>
      </c>
      <c r="D21" s="6" t="s">
        <v>84</v>
      </c>
      <c r="E21" s="2" t="s">
        <v>80</v>
      </c>
      <c r="F21" s="2" t="s">
        <v>65</v>
      </c>
      <c r="G21" s="2" t="s">
        <v>59</v>
      </c>
      <c r="H21" s="2" t="str">
        <f>IF('P5-S1'!G21="","",'P5-S1'!G21)</f>
        <v>Not Applicable</v>
      </c>
      <c r="I21" s="2" t="str">
        <f>IF('P5-S1'!H21="","",'P5-S1'!H21)</f>
        <v>Completed</v>
      </c>
      <c r="J21" s="2" t="str">
        <f>IF('P5-S1'!I21="","",'P5-S1'!I21)</f>
        <v>Not Started</v>
      </c>
      <c r="K21" s="2" t="str">
        <f>IF('P5-S1'!J21="","",'P5-S1'!J21)</f>
        <v>Deployed</v>
      </c>
      <c r="L21" s="2" t="str">
        <f>IF('P5-S1'!K21="","",'P5-S1'!K21)</f>
        <v>Not Deployed</v>
      </c>
      <c r="M21" s="7" t="str">
        <f>IF('P5-S1'!L21="","",'P5-S1'!L21)</f>
        <v>Livesh</v>
      </c>
      <c r="N21" s="2" t="str">
        <f>IF('P5-S1'!M21="","",'P5-S1'!M21)</f>
        <v/>
      </c>
      <c r="O21" s="6" t="str">
        <f>IF('P5-S1'!N21="","",'P5-S1'!N21)</f>
        <v/>
      </c>
    </row>
    <row r="22" spans="1:15" ht="25.5" customHeight="1">
      <c r="A22" s="2">
        <v>20</v>
      </c>
      <c r="B22" s="2" t="s">
        <v>16</v>
      </c>
      <c r="C22" s="6" t="s">
        <v>78</v>
      </c>
      <c r="D22" s="6" t="s">
        <v>85</v>
      </c>
      <c r="E22" s="2" t="s">
        <v>80</v>
      </c>
      <c r="F22" s="2" t="s">
        <v>58</v>
      </c>
      <c r="G22" s="2" t="s">
        <v>68</v>
      </c>
      <c r="H22" s="2" t="str">
        <f>IF('P5-S1'!G22="","",'P5-S1'!G22)</f>
        <v>Completed</v>
      </c>
      <c r="I22" s="2" t="str">
        <f>IF('P5-S1'!H22="","",'P5-S1'!H22)</f>
        <v>Completed</v>
      </c>
      <c r="J22" s="2" t="str">
        <f>IF('P5-S1'!I22="","",'P5-S1'!I22)</f>
        <v>Not Started</v>
      </c>
      <c r="K22" s="2" t="str">
        <f>IF('P5-S1'!J22="","",'P5-S1'!J22)</f>
        <v>Deployed</v>
      </c>
      <c r="L22" s="2" t="str">
        <f>IF('P5-S1'!K22="","",'P5-S1'!K22)</f>
        <v>Not Deployed</v>
      </c>
      <c r="M22" s="7" t="str">
        <f>IF('P5-S1'!L22="","",'P5-S1'!L22)</f>
        <v>Aarthy / Ehthikash</v>
      </c>
      <c r="N22" s="2" t="str">
        <f>IF('P5-S1'!M22="","",'P5-S1'!M22)</f>
        <v/>
      </c>
      <c r="O22" s="6" t="str">
        <f>IF('P5-S1'!N22="","",'P5-S1'!N22)</f>
        <v/>
      </c>
    </row>
    <row r="23" spans="1:15" ht="25.5" customHeight="1">
      <c r="A23" s="2">
        <v>21</v>
      </c>
      <c r="B23" s="2" t="s">
        <v>16</v>
      </c>
      <c r="C23" s="6" t="s">
        <v>78</v>
      </c>
      <c r="D23" s="6" t="s">
        <v>86</v>
      </c>
      <c r="E23" s="2" t="s">
        <v>87</v>
      </c>
      <c r="F23" s="2" t="s">
        <v>65</v>
      </c>
      <c r="G23" s="2" t="s">
        <v>59</v>
      </c>
      <c r="H23" s="2" t="str">
        <f>IF('P5-S1'!G23="","",'P5-S1'!G23)</f>
        <v>Completed</v>
      </c>
      <c r="I23" s="2" t="str">
        <f>IF('P5-S1'!H23="","",'P5-S1'!H23)</f>
        <v>Completed</v>
      </c>
      <c r="J23" s="2" t="str">
        <f>IF('P5-S1'!I23="","",'P5-S1'!I23)</f>
        <v>Not Started</v>
      </c>
      <c r="K23" s="2" t="str">
        <f>IF('P5-S1'!J23="","",'P5-S1'!J23)</f>
        <v>Deployed</v>
      </c>
      <c r="L23" s="2" t="str">
        <f>IF('P5-S1'!K23="","",'P5-S1'!K23)</f>
        <v>Not Deployed</v>
      </c>
      <c r="M23" s="7" t="str">
        <f>IF('P5-S1'!L23="","",'P5-S1'!L23)</f>
        <v>Livesh</v>
      </c>
      <c r="N23" s="2" t="str">
        <f>IF('P5-S1'!M23="","",'P5-S1'!M23)</f>
        <v/>
      </c>
      <c r="O23" s="6" t="str">
        <f>IF('P5-S1'!N23="","",'P5-S1'!N23)</f>
        <v/>
      </c>
    </row>
    <row r="24" spans="1:15" ht="25.5" customHeight="1">
      <c r="A24" s="2">
        <v>22</v>
      </c>
      <c r="B24" s="2" t="s">
        <v>16</v>
      </c>
      <c r="C24" s="6" t="s">
        <v>88</v>
      </c>
      <c r="D24" s="6" t="s">
        <v>89</v>
      </c>
      <c r="E24" s="2" t="s">
        <v>90</v>
      </c>
      <c r="F24" s="2" t="s">
        <v>58</v>
      </c>
      <c r="G24" s="2" t="s">
        <v>59</v>
      </c>
      <c r="H24" s="2" t="str">
        <f>IF('P5-S1'!G24="","",'P5-S1'!G24)</f>
        <v>Completed</v>
      </c>
      <c r="I24" s="2" t="str">
        <f>IF('P5-S1'!H24="","",'P5-S1'!H24)</f>
        <v>Completed</v>
      </c>
      <c r="J24" s="2" t="str">
        <f>IF('P5-S1'!I24="","",'P5-S1'!I24)</f>
        <v>Not Started</v>
      </c>
      <c r="K24" s="2" t="str">
        <f>IF('P5-S1'!J24="","",'P5-S1'!J24)</f>
        <v>Deployed</v>
      </c>
      <c r="L24" s="2" t="str">
        <f>IF('P5-S1'!K24="","",'P5-S1'!K24)</f>
        <v>Not Deployed</v>
      </c>
      <c r="M24" s="7" t="str">
        <f>IF('P5-S1'!L24="","",'P5-S1'!L24)</f>
        <v>Gokul</v>
      </c>
      <c r="N24" s="2" t="str">
        <f>IF('P5-S1'!M24="","",'P5-S1'!M24)</f>
        <v/>
      </c>
      <c r="O24" s="6" t="str">
        <f>IF('P5-S1'!N24="","",'P5-S1'!N24)</f>
        <v/>
      </c>
    </row>
    <row r="25" spans="1:15" ht="25.5" customHeight="1">
      <c r="A25" s="2">
        <v>23</v>
      </c>
      <c r="B25" s="2" t="s">
        <v>16</v>
      </c>
      <c r="C25" s="6" t="s">
        <v>88</v>
      </c>
      <c r="D25" s="6" t="s">
        <v>91</v>
      </c>
      <c r="E25" s="2" t="s">
        <v>90</v>
      </c>
      <c r="F25" s="2" t="s">
        <v>58</v>
      </c>
      <c r="G25" s="2" t="s">
        <v>59</v>
      </c>
      <c r="H25" s="2" t="str">
        <f>IF('P5-S1'!G25="","",'P5-S1'!G25)</f>
        <v>Completed</v>
      </c>
      <c r="I25" s="2" t="str">
        <f>IF('P5-S1'!H25="","",'P5-S1'!H25)</f>
        <v>Completed</v>
      </c>
      <c r="J25" s="2" t="str">
        <f>IF('P5-S1'!I25="","",'P5-S1'!I25)</f>
        <v>Not Started</v>
      </c>
      <c r="K25" s="2" t="str">
        <f>IF('P5-S1'!J25="","",'P5-S1'!J25)</f>
        <v>Deployed</v>
      </c>
      <c r="L25" s="2" t="str">
        <f>IF('P5-S1'!K25="","",'P5-S1'!K25)</f>
        <v>Not Deployed</v>
      </c>
      <c r="M25" s="7" t="str">
        <f>IF('P5-S1'!L25="","",'P5-S1'!L25)</f>
        <v>Gokul</v>
      </c>
      <c r="N25" s="2" t="str">
        <f>IF('P5-S1'!M25="","",'P5-S1'!M25)</f>
        <v/>
      </c>
      <c r="O25" s="6" t="str">
        <f>IF('P5-S1'!N25="","",'P5-S1'!N25)</f>
        <v/>
      </c>
    </row>
    <row r="26" spans="1:15" ht="25.5" customHeight="1">
      <c r="A26" s="2">
        <v>24</v>
      </c>
      <c r="B26" s="2" t="s">
        <v>16</v>
      </c>
      <c r="C26" s="6" t="s">
        <v>88</v>
      </c>
      <c r="D26" s="6" t="s">
        <v>92</v>
      </c>
      <c r="E26" s="2" t="s">
        <v>90</v>
      </c>
      <c r="F26" s="2" t="s">
        <v>58</v>
      </c>
      <c r="G26" s="2" t="s">
        <v>59</v>
      </c>
      <c r="H26" s="2" t="str">
        <f>IF('P5-S1'!G26="","",'P5-S1'!G26)</f>
        <v>Completed</v>
      </c>
      <c r="I26" s="2" t="str">
        <f>IF('P5-S1'!H26="","",'P5-S1'!H26)</f>
        <v>Completed</v>
      </c>
      <c r="J26" s="2" t="str">
        <f>IF('P5-S1'!I26="","",'P5-S1'!I26)</f>
        <v>Not Started</v>
      </c>
      <c r="K26" s="2" t="str">
        <f>IF('P5-S1'!J26="","",'P5-S1'!J26)</f>
        <v>Deployed</v>
      </c>
      <c r="L26" s="2" t="str">
        <f>IF('P5-S1'!K26="","",'P5-S1'!K26)</f>
        <v>Not Deployed</v>
      </c>
      <c r="M26" s="7" t="str">
        <f>IF('P5-S1'!L26="","",'P5-S1'!L26)</f>
        <v>Gokul</v>
      </c>
      <c r="N26" s="2" t="str">
        <f>IF('P5-S1'!M26="","",'P5-S1'!M26)</f>
        <v/>
      </c>
      <c r="O26" s="6" t="str">
        <f>IF('P5-S1'!N26="","",'P5-S1'!N26)</f>
        <v/>
      </c>
    </row>
    <row r="27" spans="1:15" ht="25.5" customHeight="1">
      <c r="A27" s="2">
        <v>25</v>
      </c>
      <c r="B27" s="2" t="s">
        <v>16</v>
      </c>
      <c r="C27" s="6" t="s">
        <v>88</v>
      </c>
      <c r="D27" s="6" t="s">
        <v>93</v>
      </c>
      <c r="E27" s="2" t="s">
        <v>90</v>
      </c>
      <c r="F27" s="2" t="s">
        <v>58</v>
      </c>
      <c r="G27" s="2" t="s">
        <v>59</v>
      </c>
      <c r="H27" s="2" t="str">
        <f>IF('P5-S1'!G27="","",'P5-S1'!G27)</f>
        <v>Completed</v>
      </c>
      <c r="I27" s="2" t="str">
        <f>IF('P5-S1'!H27="","",'P5-S1'!H27)</f>
        <v>Completed</v>
      </c>
      <c r="J27" s="2" t="str">
        <f>IF('P5-S1'!I27="","",'P5-S1'!I27)</f>
        <v>Not Started</v>
      </c>
      <c r="K27" s="2" t="str">
        <f>IF('P5-S1'!J27="","",'P5-S1'!J27)</f>
        <v>Deployed</v>
      </c>
      <c r="L27" s="2" t="str">
        <f>IF('P5-S1'!K27="","",'P5-S1'!K27)</f>
        <v>Not Deployed</v>
      </c>
      <c r="M27" s="7" t="str">
        <f>IF('P5-S1'!L27="","",'P5-S1'!L27)</f>
        <v>Gokul</v>
      </c>
      <c r="N27" s="2" t="str">
        <f>IF('P5-S1'!M27="","",'P5-S1'!M27)</f>
        <v/>
      </c>
      <c r="O27" s="6" t="str">
        <f>IF('P5-S1'!N27="","",'P5-S1'!N27)</f>
        <v/>
      </c>
    </row>
    <row r="28" spans="1:15" ht="25.5" customHeight="1">
      <c r="A28" s="2">
        <v>26</v>
      </c>
      <c r="B28" s="2" t="s">
        <v>16</v>
      </c>
      <c r="C28" s="6" t="s">
        <v>88</v>
      </c>
      <c r="D28" s="6" t="s">
        <v>94</v>
      </c>
      <c r="E28" s="2" t="s">
        <v>90</v>
      </c>
      <c r="F28" s="2" t="s">
        <v>58</v>
      </c>
      <c r="G28" s="2" t="s">
        <v>59</v>
      </c>
      <c r="H28" s="2" t="str">
        <f>IF('P5-S1'!G28="","",'P5-S1'!G28)</f>
        <v>Completed</v>
      </c>
      <c r="I28" s="2" t="str">
        <f>IF('P5-S1'!H28="","",'P5-S1'!H28)</f>
        <v>Completed</v>
      </c>
      <c r="J28" s="2" t="str">
        <f>IF('P5-S1'!I28="","",'P5-S1'!I28)</f>
        <v>Not Started</v>
      </c>
      <c r="K28" s="2" t="str">
        <f>IF('P5-S1'!J28="","",'P5-S1'!J28)</f>
        <v>Deployed</v>
      </c>
      <c r="L28" s="2" t="str">
        <f>IF('P5-S1'!K28="","",'P5-S1'!K28)</f>
        <v>Not Deployed</v>
      </c>
      <c r="M28" s="7" t="str">
        <f>IF('P5-S1'!L28="","",'P5-S1'!L28)</f>
        <v>Aarthy / Gokul</v>
      </c>
      <c r="N28" s="2" t="str">
        <f>IF('P5-S1'!M28="","",'P5-S1'!M28)</f>
        <v/>
      </c>
      <c r="O28" s="6" t="str">
        <f>IF('P5-S1'!N28="","",'P5-S1'!N28)</f>
        <v/>
      </c>
    </row>
    <row r="29" spans="1:15" ht="25.5" customHeight="1">
      <c r="A29" s="2">
        <v>27</v>
      </c>
      <c r="B29" s="2" t="s">
        <v>16</v>
      </c>
      <c r="C29" s="6" t="s">
        <v>88</v>
      </c>
      <c r="D29" s="6" t="s">
        <v>95</v>
      </c>
      <c r="E29" s="2" t="s">
        <v>90</v>
      </c>
      <c r="F29" s="2" t="s">
        <v>58</v>
      </c>
      <c r="G29" s="2" t="s">
        <v>59</v>
      </c>
      <c r="H29" s="2" t="str">
        <f>IF('P5-S1'!G29="","",'P5-S1'!G29)</f>
        <v>Completed</v>
      </c>
      <c r="I29" s="2" t="str">
        <f>IF('P5-S1'!H29="","",'P5-S1'!H29)</f>
        <v>Completed</v>
      </c>
      <c r="J29" s="2" t="str">
        <f>IF('P5-S1'!I29="","",'P5-S1'!I29)</f>
        <v>Not Started</v>
      </c>
      <c r="K29" s="2" t="str">
        <f>IF('P5-S1'!J29="","",'P5-S1'!J29)</f>
        <v>Deployed</v>
      </c>
      <c r="L29" s="2" t="str">
        <f>IF('P5-S1'!K29="","",'P5-S1'!K29)</f>
        <v>Not Deployed</v>
      </c>
      <c r="M29" s="7" t="str">
        <f>IF('P5-S1'!L29="","",'P5-S1'!L29)</f>
        <v>Aarthy / Gokul</v>
      </c>
      <c r="N29" s="2" t="str">
        <f>IF('P5-S1'!M29="","",'P5-S1'!M29)</f>
        <v/>
      </c>
      <c r="O29" s="6" t="str">
        <f>IF('P5-S1'!N29="","",'P5-S1'!N29)</f>
        <v/>
      </c>
    </row>
    <row r="30" spans="1:15" ht="25.5" customHeight="1">
      <c r="A30" s="2">
        <v>28</v>
      </c>
      <c r="B30" s="2" t="s">
        <v>16</v>
      </c>
      <c r="C30" s="6" t="s">
        <v>88</v>
      </c>
      <c r="D30" s="6" t="s">
        <v>96</v>
      </c>
      <c r="E30" s="2" t="s">
        <v>90</v>
      </c>
      <c r="F30" s="2" t="s">
        <v>58</v>
      </c>
      <c r="G30" s="2" t="s">
        <v>59</v>
      </c>
      <c r="H30" s="2" t="str">
        <f>IF('P5-S1'!G30="","",'P5-S1'!G30)</f>
        <v>Completed</v>
      </c>
      <c r="I30" s="2" t="str">
        <f>IF('P5-S1'!H30="","",'P5-S1'!H30)</f>
        <v>Completed</v>
      </c>
      <c r="J30" s="2" t="str">
        <f>IF('P5-S1'!I30="","",'P5-S1'!I30)</f>
        <v>Not Started</v>
      </c>
      <c r="K30" s="2" t="str">
        <f>IF('P5-S1'!J30="","",'P5-S1'!J30)</f>
        <v>Deployed</v>
      </c>
      <c r="L30" s="2" t="str">
        <f>IF('P5-S1'!K30="","",'P5-S1'!K30)</f>
        <v>Not Deployed</v>
      </c>
      <c r="M30" s="7" t="str">
        <f>IF('P5-S1'!L30="","",'P5-S1'!L30)</f>
        <v>Aarthy / Gokul</v>
      </c>
      <c r="N30" s="2" t="str">
        <f>IF('P5-S1'!M30="","",'P5-S1'!M30)</f>
        <v/>
      </c>
      <c r="O30" s="6" t="str">
        <f>IF('P5-S1'!N30="","",'P5-S1'!N30)</f>
        <v/>
      </c>
    </row>
    <row r="31" spans="1:15" ht="25.5" customHeight="1">
      <c r="A31" s="2">
        <v>29</v>
      </c>
      <c r="B31" s="2" t="s">
        <v>16</v>
      </c>
      <c r="C31" s="6" t="s">
        <v>88</v>
      </c>
      <c r="D31" s="6" t="s">
        <v>97</v>
      </c>
      <c r="E31" s="2" t="s">
        <v>90</v>
      </c>
      <c r="F31" s="2" t="s">
        <v>65</v>
      </c>
      <c r="G31" s="2" t="s">
        <v>59</v>
      </c>
      <c r="H31" s="2" t="str">
        <f>IF('P5-S1'!G31="","",'P5-S1'!G31)</f>
        <v>Completed</v>
      </c>
      <c r="I31" s="2" t="str">
        <f>IF('P5-S1'!H31="","",'P5-S1'!H31)</f>
        <v>Completed</v>
      </c>
      <c r="J31" s="2" t="str">
        <f>IF('P5-S1'!I31="","",'P5-S1'!I31)</f>
        <v>Not Started</v>
      </c>
      <c r="K31" s="2" t="str">
        <f>IF('P5-S1'!J31="","",'P5-S1'!J31)</f>
        <v>Deployed</v>
      </c>
      <c r="L31" s="2" t="str">
        <f>IF('P5-S1'!K31="","",'P5-S1'!K31)</f>
        <v>Not Deployed</v>
      </c>
      <c r="M31" s="7" t="str">
        <f>IF('P5-S1'!L31="","",'P5-S1'!L31)</f>
        <v>Aarthy / Gokul</v>
      </c>
      <c r="N31" s="2" t="str">
        <f>IF('P5-S1'!M31="","",'P5-S1'!M31)</f>
        <v/>
      </c>
      <c r="O31" s="6" t="str">
        <f>IF('P5-S1'!N31="","",'P5-S1'!N31)</f>
        <v/>
      </c>
    </row>
    <row r="32" spans="1:15" ht="25.5" customHeight="1">
      <c r="A32" s="2">
        <v>30</v>
      </c>
      <c r="B32" s="2" t="s">
        <v>16</v>
      </c>
      <c r="C32" s="6" t="s">
        <v>88</v>
      </c>
      <c r="D32" s="6" t="s">
        <v>98</v>
      </c>
      <c r="E32" s="2" t="s">
        <v>90</v>
      </c>
      <c r="F32" s="2" t="s">
        <v>65</v>
      </c>
      <c r="G32" s="2" t="s">
        <v>59</v>
      </c>
      <c r="H32" s="2" t="str">
        <f>IF('P5-S1'!G32="","",'P5-S1'!G32)</f>
        <v>Completed</v>
      </c>
      <c r="I32" s="2" t="str">
        <f>IF('P5-S1'!H32="","",'P5-S1'!H32)</f>
        <v>Completed</v>
      </c>
      <c r="J32" s="2" t="str">
        <f>IF('P5-S1'!I32="","",'P5-S1'!I32)</f>
        <v>Not Started</v>
      </c>
      <c r="K32" s="2" t="str">
        <f>IF('P5-S1'!J32="","",'P5-S1'!J32)</f>
        <v>Deployed</v>
      </c>
      <c r="L32" s="2" t="str">
        <f>IF('P5-S1'!K32="","",'P5-S1'!K32)</f>
        <v>Not Deployed</v>
      </c>
      <c r="M32" s="7" t="str">
        <f>IF('P5-S1'!L32="","",'P5-S1'!L32)</f>
        <v>Aarthy / Gokul</v>
      </c>
      <c r="N32" s="2" t="str">
        <f>IF('P5-S1'!M32="","",'P5-S1'!M32)</f>
        <v/>
      </c>
      <c r="O32" s="6" t="str">
        <f>IF('P5-S1'!N32="","",'P5-S1'!N32)</f>
        <v/>
      </c>
    </row>
    <row r="33" spans="1:15" ht="25.5" customHeight="1">
      <c r="A33" s="2">
        <v>31</v>
      </c>
      <c r="B33" s="2" t="s">
        <v>16</v>
      </c>
      <c r="C33" s="6" t="s">
        <v>88</v>
      </c>
      <c r="D33" s="6" t="s">
        <v>99</v>
      </c>
      <c r="E33" s="2" t="s">
        <v>90</v>
      </c>
      <c r="F33" s="2" t="s">
        <v>58</v>
      </c>
      <c r="G33" s="2" t="s">
        <v>68</v>
      </c>
      <c r="H33" s="2" t="str">
        <f>IF('P5-S1'!G33="","",'P5-S1'!G33)</f>
        <v>Completed</v>
      </c>
      <c r="I33" s="2" t="str">
        <f>IF('P5-S1'!H33="","",'P5-S1'!H33)</f>
        <v>Completed</v>
      </c>
      <c r="J33" s="2" t="str">
        <f>IF('P5-S1'!I33="","",'P5-S1'!I33)</f>
        <v>Not Started</v>
      </c>
      <c r="K33" s="2" t="str">
        <f>IF('P5-S1'!J33="","",'P5-S1'!J33)</f>
        <v>Deployed</v>
      </c>
      <c r="L33" s="2" t="str">
        <f>IF('P5-S1'!K33="","",'P5-S1'!K33)</f>
        <v>Not Deployed</v>
      </c>
      <c r="M33" s="7" t="str">
        <f>IF('P5-S1'!L33="","",'P5-S1'!L33)</f>
        <v>Aarthy / Gokul</v>
      </c>
      <c r="N33" s="2" t="str">
        <f>IF('P5-S1'!M33="","",'P5-S1'!M33)</f>
        <v/>
      </c>
      <c r="O33" s="6" t="str">
        <f>IF('P5-S1'!N33="","",'P5-S1'!N33)</f>
        <v/>
      </c>
    </row>
    <row r="34" spans="1:15" ht="25.5" customHeight="1">
      <c r="A34" s="2">
        <v>32</v>
      </c>
      <c r="B34" s="2" t="s">
        <v>16</v>
      </c>
      <c r="C34" s="6" t="s">
        <v>88</v>
      </c>
      <c r="D34" s="6" t="s">
        <v>100</v>
      </c>
      <c r="E34" s="2" t="s">
        <v>90</v>
      </c>
      <c r="F34" s="2" t="s">
        <v>65</v>
      </c>
      <c r="G34" s="2" t="s">
        <v>59</v>
      </c>
      <c r="H34" s="2" t="str">
        <f>IF('P5-S1'!G34="","",'P5-S1'!G34)</f>
        <v>Completed</v>
      </c>
      <c r="I34" s="2" t="str">
        <f>IF('P5-S1'!H34="","",'P5-S1'!H34)</f>
        <v>Completed</v>
      </c>
      <c r="J34" s="2" t="str">
        <f>IF('P5-S1'!I34="","",'P5-S1'!I34)</f>
        <v>Not Started</v>
      </c>
      <c r="K34" s="2" t="str">
        <f>IF('P5-S1'!J34="","",'P5-S1'!J34)</f>
        <v>Deployed</v>
      </c>
      <c r="L34" s="2" t="str">
        <f>IF('P5-S1'!K34="","",'P5-S1'!K34)</f>
        <v>Not Deployed</v>
      </c>
      <c r="M34" s="7" t="str">
        <f>IF('P5-S1'!L34="","",'P5-S1'!L34)</f>
        <v>Gokul</v>
      </c>
      <c r="N34" s="2" t="str">
        <f>IF('P5-S1'!M34="","",'P5-S1'!M34)</f>
        <v/>
      </c>
      <c r="O34" s="6" t="str">
        <f>IF('P5-S1'!N34="","",'P5-S1'!N34)</f>
        <v/>
      </c>
    </row>
    <row r="35" spans="1:15" ht="25.5" customHeight="1">
      <c r="A35" s="2">
        <v>33</v>
      </c>
      <c r="B35" s="2" t="s">
        <v>20</v>
      </c>
      <c r="C35" s="6" t="s">
        <v>88</v>
      </c>
      <c r="D35" s="6" t="s">
        <v>101</v>
      </c>
      <c r="E35" s="2" t="s">
        <v>90</v>
      </c>
      <c r="F35" s="2" t="s">
        <v>65</v>
      </c>
      <c r="G35" s="2" t="s">
        <v>59</v>
      </c>
      <c r="H35" s="2" t="str">
        <f>IF('P5-S2'!G3="","",'P5-S2'!G3)</f>
        <v>In Progress</v>
      </c>
      <c r="I35" s="2" t="str">
        <f>IF('P5-S2'!H3="","",'P5-S2'!H3)</f>
        <v>In Progress</v>
      </c>
      <c r="J35" s="2" t="str">
        <f>IF('P5-S2'!I3="","",'P5-S2'!I3)</f>
        <v>Not Started</v>
      </c>
      <c r="K35" s="2" t="str">
        <f>IF('P5-S2'!J3="","",'P5-S2'!J3)</f>
        <v>Not Deployed</v>
      </c>
      <c r="L35" s="2" t="str">
        <f>IF('P5-S2'!K3="","",'P5-S2'!K3)</f>
        <v>Not Deployed</v>
      </c>
      <c r="M35" s="7" t="str">
        <f>IF('P5-S2'!L3="","",'P5-S2'!L3)</f>
        <v>Gokul / Aarthy</v>
      </c>
      <c r="N35" s="2" t="str">
        <f>IF('P5-S2'!M3="","",'P5-S2'!M3)</f>
        <v/>
      </c>
      <c r="O35" s="6" t="str">
        <f>IF('P5-S2'!N3="","",'P5-S2'!N3)</f>
        <v/>
      </c>
    </row>
    <row r="36" spans="1:15" ht="25.5" customHeight="1">
      <c r="A36" s="2">
        <v>34</v>
      </c>
      <c r="B36" s="2" t="s">
        <v>20</v>
      </c>
      <c r="C36" s="6" t="s">
        <v>88</v>
      </c>
      <c r="D36" s="6" t="s">
        <v>102</v>
      </c>
      <c r="E36" s="2" t="s">
        <v>90</v>
      </c>
      <c r="F36" s="2" t="s">
        <v>58</v>
      </c>
      <c r="G36" s="2" t="s">
        <v>59</v>
      </c>
      <c r="H36" s="2" t="str">
        <f>IF('P5-S2'!G4="","",'P5-S2'!G4)</f>
        <v>Not Started</v>
      </c>
      <c r="I36" s="2" t="str">
        <f>IF('P5-S2'!H4="","",'P5-S2'!H4)</f>
        <v>In Progress</v>
      </c>
      <c r="J36" s="2" t="str">
        <f>IF('P5-S2'!I4="","",'P5-S2'!I4)</f>
        <v>Not Started</v>
      </c>
      <c r="K36" s="2" t="str">
        <f>IF('P5-S2'!J4="","",'P5-S2'!J4)</f>
        <v>Not Deployed</v>
      </c>
      <c r="L36" s="2" t="str">
        <f>IF('P5-S2'!K4="","",'P5-S2'!K4)</f>
        <v>Not Deployed</v>
      </c>
      <c r="M36" s="7" t="str">
        <f>IF('P5-S2'!L4="","",'P5-S2'!L4)</f>
        <v>Gokul</v>
      </c>
      <c r="N36" s="2" t="str">
        <f>IF('P5-S2'!M4="","",'P5-S2'!M4)</f>
        <v/>
      </c>
      <c r="O36" s="6" t="str">
        <f>IF('P5-S2'!N4="","",'P5-S2'!N4)</f>
        <v/>
      </c>
    </row>
    <row r="37" spans="1:15" ht="25.5" customHeight="1">
      <c r="A37" s="2">
        <v>35</v>
      </c>
      <c r="B37" s="2" t="s">
        <v>20</v>
      </c>
      <c r="C37" s="6" t="s">
        <v>88</v>
      </c>
      <c r="D37" s="6" t="s">
        <v>103</v>
      </c>
      <c r="E37" s="2" t="s">
        <v>90</v>
      </c>
      <c r="F37" s="2" t="s">
        <v>65</v>
      </c>
      <c r="G37" s="2" t="s">
        <v>59</v>
      </c>
      <c r="H37" s="2" t="str">
        <f>IF('P5-S2'!G5="","",'P5-S2'!G5)</f>
        <v>Not Started</v>
      </c>
      <c r="I37" s="2" t="str">
        <f>IF('P5-S2'!H5="","",'P5-S2'!H5)</f>
        <v>In Progress</v>
      </c>
      <c r="J37" s="2" t="str">
        <f>IF('P5-S2'!I5="","",'P5-S2'!I5)</f>
        <v>Not Started</v>
      </c>
      <c r="K37" s="2" t="str">
        <f>IF('P5-S2'!J5="","",'P5-S2'!J5)</f>
        <v>Not Deployed</v>
      </c>
      <c r="L37" s="2" t="str">
        <f>IF('P5-S2'!K5="","",'P5-S2'!K5)</f>
        <v>Not Deployed</v>
      </c>
      <c r="M37" s="7" t="str">
        <f>IF('P5-S2'!L5="","",'P5-S2'!L5)</f>
        <v>Gokul / Aarthy</v>
      </c>
      <c r="N37" s="2" t="str">
        <f>IF('P5-S2'!M5="","",'P5-S2'!M5)</f>
        <v/>
      </c>
      <c r="O37" s="6" t="str">
        <f>IF('P5-S2'!N5="","",'P5-S2'!N5)</f>
        <v/>
      </c>
    </row>
    <row r="38" spans="1:15" ht="25.5" customHeight="1">
      <c r="A38" s="2">
        <v>36</v>
      </c>
      <c r="B38" s="2" t="s">
        <v>20</v>
      </c>
      <c r="C38" s="6" t="s">
        <v>88</v>
      </c>
      <c r="D38" s="6" t="s">
        <v>104</v>
      </c>
      <c r="E38" s="2" t="s">
        <v>105</v>
      </c>
      <c r="F38" s="2" t="s">
        <v>65</v>
      </c>
      <c r="G38" s="2" t="s">
        <v>59</v>
      </c>
      <c r="H38" s="2" t="str">
        <f>IF('P5-S2'!G6="","",'P5-S2'!G6)</f>
        <v>Not Applicable</v>
      </c>
      <c r="I38" s="2" t="str">
        <f>IF('P5-S2'!H6="","",'P5-S2'!H6)</f>
        <v>In Progress</v>
      </c>
      <c r="J38" s="2" t="str">
        <f>IF('P5-S2'!I6="","",'P5-S2'!I6)</f>
        <v>Not Started</v>
      </c>
      <c r="K38" s="2" t="str">
        <f>IF('P5-S2'!J6="","",'P5-S2'!J6)</f>
        <v>Not Deployed</v>
      </c>
      <c r="L38" s="2" t="str">
        <f>IF('P5-S2'!K6="","",'P5-S2'!K6)</f>
        <v>Not Deployed</v>
      </c>
      <c r="M38" s="7" t="str">
        <f>IF('P5-S2'!L6="","",'P5-S2'!L6)</f>
        <v>Gokul / Aarthy</v>
      </c>
      <c r="N38" s="2" t="str">
        <f>IF('P5-S2'!M6="","",'P5-S2'!M6)</f>
        <v/>
      </c>
      <c r="O38" s="6" t="str">
        <f>IF('P5-S2'!N6="","",'P5-S2'!N6)</f>
        <v/>
      </c>
    </row>
    <row r="39" spans="1:15" ht="25.5" customHeight="1">
      <c r="A39" s="2">
        <v>37</v>
      </c>
      <c r="B39" s="2" t="s">
        <v>20</v>
      </c>
      <c r="C39" s="6" t="s">
        <v>88</v>
      </c>
      <c r="D39" s="6" t="s">
        <v>106</v>
      </c>
      <c r="E39" s="2" t="s">
        <v>90</v>
      </c>
      <c r="F39" s="2" t="s">
        <v>58</v>
      </c>
      <c r="G39" s="2" t="s">
        <v>59</v>
      </c>
      <c r="H39" s="2" t="str">
        <f>IF('P5-S2'!G7="","",'P5-S2'!G7)</f>
        <v>Not Started</v>
      </c>
      <c r="I39" s="2" t="str">
        <f>IF('P5-S2'!H7="","",'P5-S2'!H7)</f>
        <v>In Progress</v>
      </c>
      <c r="J39" s="2" t="str">
        <f>IF('P5-S2'!I7="","",'P5-S2'!I7)</f>
        <v>Not Started</v>
      </c>
      <c r="K39" s="2" t="str">
        <f>IF('P5-S2'!J7="","",'P5-S2'!J7)</f>
        <v>Not Deployed</v>
      </c>
      <c r="L39" s="2" t="str">
        <f>IF('P5-S2'!K7="","",'P5-S2'!K7)</f>
        <v>Not Deployed</v>
      </c>
      <c r="M39" s="7" t="str">
        <f>IF('P5-S2'!L7="","",'P5-S2'!L7)</f>
        <v>Gokul</v>
      </c>
      <c r="N39" s="2" t="str">
        <f>IF('P5-S2'!M7="","",'P5-S2'!M7)</f>
        <v/>
      </c>
      <c r="O39" s="6" t="str">
        <f>IF('P5-S2'!N7="","",'P5-S2'!N7)</f>
        <v/>
      </c>
    </row>
    <row r="40" spans="1:15" ht="25.5" customHeight="1">
      <c r="A40" s="2">
        <v>38</v>
      </c>
      <c r="B40" s="2" t="s">
        <v>20</v>
      </c>
      <c r="C40" s="6" t="s">
        <v>88</v>
      </c>
      <c r="D40" s="6" t="s">
        <v>107</v>
      </c>
      <c r="E40" s="2" t="s">
        <v>90</v>
      </c>
      <c r="F40" s="2" t="s">
        <v>58</v>
      </c>
      <c r="G40" s="2" t="s">
        <v>59</v>
      </c>
      <c r="H40" s="2" t="str">
        <f>IF('P5-S2'!G8="","",'P5-S2'!G8)</f>
        <v>Not Started</v>
      </c>
      <c r="I40" s="2" t="str">
        <f>IF('P5-S2'!H8="","",'P5-S2'!H8)</f>
        <v>In Progress</v>
      </c>
      <c r="J40" s="2" t="str">
        <f>IF('P5-S2'!I8="","",'P5-S2'!I8)</f>
        <v>Not Started</v>
      </c>
      <c r="K40" s="2" t="str">
        <f>IF('P5-S2'!J8="","",'P5-S2'!J8)</f>
        <v>Not Deployed</v>
      </c>
      <c r="L40" s="2" t="str">
        <f>IF('P5-S2'!K8="","",'P5-S2'!K8)</f>
        <v>Not Deployed</v>
      </c>
      <c r="M40" s="7" t="str">
        <f>IF('P5-S2'!L8="","",'P5-S2'!L8)</f>
        <v>Gokul</v>
      </c>
      <c r="N40" s="2" t="str">
        <f>IF('P5-S2'!M8="","",'P5-S2'!M8)</f>
        <v/>
      </c>
      <c r="O40" s="6" t="str">
        <f>IF('P5-S2'!N8="","",'P5-S2'!N8)</f>
        <v/>
      </c>
    </row>
    <row r="41" spans="1:15" ht="25.5" customHeight="1">
      <c r="A41" s="2">
        <v>39</v>
      </c>
      <c r="B41" s="2" t="s">
        <v>20</v>
      </c>
      <c r="C41" s="6" t="s">
        <v>88</v>
      </c>
      <c r="D41" s="6" t="s">
        <v>108</v>
      </c>
      <c r="E41" s="2" t="s">
        <v>90</v>
      </c>
      <c r="F41" s="2" t="s">
        <v>58</v>
      </c>
      <c r="G41" s="2" t="s">
        <v>59</v>
      </c>
      <c r="H41" s="2" t="str">
        <f>IF('P5-S2'!G9="","",'P5-S2'!G9)</f>
        <v>Not Started</v>
      </c>
      <c r="I41" s="2" t="str">
        <f>IF('P5-S2'!H9="","",'P5-S2'!H9)</f>
        <v>In Progress</v>
      </c>
      <c r="J41" s="2" t="str">
        <f>IF('P5-S2'!I9="","",'P5-S2'!I9)</f>
        <v>Not Started</v>
      </c>
      <c r="K41" s="2" t="str">
        <f>IF('P5-S2'!J9="","",'P5-S2'!J9)</f>
        <v>Not Deployed</v>
      </c>
      <c r="L41" s="2" t="str">
        <f>IF('P5-S2'!K9="","",'P5-S2'!K9)</f>
        <v>Not Deployed</v>
      </c>
      <c r="M41" s="7" t="str">
        <f>IF('P5-S2'!L9="","",'P5-S2'!L9)</f>
        <v>Gokul / Aarthy</v>
      </c>
      <c r="N41" s="2" t="str">
        <f>IF('P5-S2'!M9="","",'P5-S2'!M9)</f>
        <v/>
      </c>
      <c r="O41" s="6" t="str">
        <f>IF('P5-S2'!N9="","",'P5-S2'!N9)</f>
        <v/>
      </c>
    </row>
    <row r="42" spans="1:15" ht="25.5" customHeight="1">
      <c r="A42" s="2">
        <v>40</v>
      </c>
      <c r="B42" s="2" t="s">
        <v>20</v>
      </c>
      <c r="C42" s="6" t="s">
        <v>88</v>
      </c>
      <c r="D42" s="6" t="s">
        <v>109</v>
      </c>
      <c r="E42" s="2" t="s">
        <v>90</v>
      </c>
      <c r="F42" s="2" t="s">
        <v>58</v>
      </c>
      <c r="G42" s="2" t="s">
        <v>68</v>
      </c>
      <c r="H42" s="2" t="str">
        <f>IF('P5-S2'!G10="","",'P5-S2'!G10)</f>
        <v>Not Started</v>
      </c>
      <c r="I42" s="2" t="str">
        <f>IF('P5-S2'!H10="","",'P5-S2'!H10)</f>
        <v>In Progress</v>
      </c>
      <c r="J42" s="2" t="str">
        <f>IF('P5-S2'!I10="","",'P5-S2'!I10)</f>
        <v>Not Started</v>
      </c>
      <c r="K42" s="2" t="str">
        <f>IF('P5-S2'!J10="","",'P5-S2'!J10)</f>
        <v>Not Deployed</v>
      </c>
      <c r="L42" s="2" t="str">
        <f>IF('P5-S2'!K10="","",'P5-S2'!K10)</f>
        <v>Not Deployed</v>
      </c>
      <c r="M42" s="7" t="str">
        <f>IF('P5-S2'!L10="","",'P5-S2'!L10)</f>
        <v>Gokul / Aarthy</v>
      </c>
      <c r="N42" s="2" t="str">
        <f>IF('P5-S2'!M10="","",'P5-S2'!M10)</f>
        <v/>
      </c>
      <c r="O42" s="6" t="str">
        <f>IF('P5-S2'!N10="","",'P5-S2'!N10)</f>
        <v/>
      </c>
    </row>
    <row r="43" spans="1:15" ht="25.5" customHeight="1">
      <c r="A43" s="2">
        <v>41</v>
      </c>
      <c r="B43" s="2" t="s">
        <v>20</v>
      </c>
      <c r="C43" s="6" t="s">
        <v>88</v>
      </c>
      <c r="D43" s="6" t="s">
        <v>110</v>
      </c>
      <c r="E43" s="2" t="s">
        <v>90</v>
      </c>
      <c r="F43" s="2" t="s">
        <v>58</v>
      </c>
      <c r="G43" s="2" t="s">
        <v>68</v>
      </c>
      <c r="H43" s="2" t="str">
        <f>IF('P5-S2'!G11="","",'P5-S2'!G11)</f>
        <v>Not Started</v>
      </c>
      <c r="I43" s="2" t="str">
        <f>IF('P5-S2'!H11="","",'P5-S2'!H11)</f>
        <v>Not Started</v>
      </c>
      <c r="J43" s="2" t="str">
        <f>IF('P5-S2'!I11="","",'P5-S2'!I11)</f>
        <v>Not Started</v>
      </c>
      <c r="K43" s="2" t="str">
        <f>IF('P5-S2'!J11="","",'P5-S2'!J11)</f>
        <v>Not Deployed</v>
      </c>
      <c r="L43" s="2" t="str">
        <f>IF('P5-S2'!K11="","",'P5-S2'!K11)</f>
        <v>Not Deployed</v>
      </c>
      <c r="M43" s="7" t="str">
        <f>IF('P5-S2'!L11="","",'P5-S2'!L11)</f>
        <v>Gokul</v>
      </c>
      <c r="N43" s="2" t="str">
        <f>IF('P5-S2'!M11="","",'P5-S2'!M11)</f>
        <v/>
      </c>
      <c r="O43" s="6" t="str">
        <f>IF('P5-S2'!N11="","",'P5-S2'!N11)</f>
        <v/>
      </c>
    </row>
    <row r="44" spans="1:15" ht="25.5" customHeight="1">
      <c r="A44" s="2">
        <v>42</v>
      </c>
      <c r="B44" s="2" t="s">
        <v>20</v>
      </c>
      <c r="C44" s="6" t="s">
        <v>111</v>
      </c>
      <c r="D44" s="6" t="s">
        <v>112</v>
      </c>
      <c r="E44" s="2" t="s">
        <v>113</v>
      </c>
      <c r="F44" s="2" t="s">
        <v>65</v>
      </c>
      <c r="G44" s="2" t="s">
        <v>59</v>
      </c>
      <c r="H44" s="2" t="str">
        <f>IF('P5-S2'!G12="","",'P5-S2'!G12)</f>
        <v>In Progress</v>
      </c>
      <c r="I44" s="2" t="str">
        <f>IF('P5-S2'!H12="","",'P5-S2'!H12)</f>
        <v>In Progress</v>
      </c>
      <c r="J44" s="2" t="str">
        <f>IF('P5-S2'!I12="","",'P5-S2'!I12)</f>
        <v>Not Started</v>
      </c>
      <c r="K44" s="2" t="str">
        <f>IF('P5-S2'!J12="","",'P5-S2'!J12)</f>
        <v>Not Deployed</v>
      </c>
      <c r="L44" s="2" t="str">
        <f>IF('P5-S2'!K12="","",'P5-S2'!K12)</f>
        <v>Not Deployed</v>
      </c>
      <c r="M44" s="7" t="str">
        <f>IF('P5-S2'!L12="","",'P5-S2'!L12)</f>
        <v>Ehthikash</v>
      </c>
      <c r="N44" s="2" t="str">
        <f>IF('P5-S2'!M12="","",'P5-S2'!M12)</f>
        <v/>
      </c>
      <c r="O44" s="6" t="str">
        <f>IF('P5-S2'!N12="","",'P5-S2'!N12)</f>
        <v/>
      </c>
    </row>
    <row r="45" spans="1:15" ht="25.5" customHeight="1">
      <c r="A45" s="2">
        <v>43</v>
      </c>
      <c r="B45" s="2" t="s">
        <v>20</v>
      </c>
      <c r="C45" s="6" t="s">
        <v>111</v>
      </c>
      <c r="D45" s="6" t="s">
        <v>114</v>
      </c>
      <c r="E45" s="2" t="s">
        <v>113</v>
      </c>
      <c r="F45" s="2" t="s">
        <v>58</v>
      </c>
      <c r="G45" s="2" t="s">
        <v>59</v>
      </c>
      <c r="H45" s="2" t="str">
        <f>IF('P5-S2'!G13="","",'P5-S2'!G13)</f>
        <v>In Progress</v>
      </c>
      <c r="I45" s="2" t="str">
        <f>IF('P5-S2'!H13="","",'P5-S2'!H13)</f>
        <v>In Progress</v>
      </c>
      <c r="J45" s="2" t="str">
        <f>IF('P5-S2'!I13="","",'P5-S2'!I13)</f>
        <v>Not Started</v>
      </c>
      <c r="K45" s="2" t="str">
        <f>IF('P5-S2'!J13="","",'P5-S2'!J13)</f>
        <v>Not Deployed</v>
      </c>
      <c r="L45" s="2" t="str">
        <f>IF('P5-S2'!K13="","",'P5-S2'!K13)</f>
        <v>Not Deployed</v>
      </c>
      <c r="M45" s="7" t="str">
        <f>IF('P5-S2'!L13="","",'P5-S2'!L13)</f>
        <v>Ehthikash</v>
      </c>
      <c r="N45" s="2" t="str">
        <f>IF('P5-S2'!M13="","",'P5-S2'!M13)</f>
        <v/>
      </c>
      <c r="O45" s="6" t="str">
        <f>IF('P5-S2'!N13="","",'P5-S2'!N13)</f>
        <v/>
      </c>
    </row>
    <row r="46" spans="1:15" ht="25.5" customHeight="1">
      <c r="A46" s="2">
        <v>44</v>
      </c>
      <c r="B46" s="2" t="s">
        <v>20</v>
      </c>
      <c r="C46" s="6" t="s">
        <v>111</v>
      </c>
      <c r="D46" s="6" t="s">
        <v>115</v>
      </c>
      <c r="E46" s="2" t="s">
        <v>113</v>
      </c>
      <c r="F46" s="2" t="s">
        <v>58</v>
      </c>
      <c r="G46" s="2" t="s">
        <v>68</v>
      </c>
      <c r="H46" s="2" t="str">
        <f>IF('P5-S2'!G14="","",'P5-S2'!G14)</f>
        <v>Not Started</v>
      </c>
      <c r="I46" s="2" t="str">
        <f>IF('P5-S2'!H14="","",'P5-S2'!H14)</f>
        <v>Not Started</v>
      </c>
      <c r="J46" s="2" t="str">
        <f>IF('P5-S2'!I14="","",'P5-S2'!I14)</f>
        <v>Not Started</v>
      </c>
      <c r="K46" s="2" t="str">
        <f>IF('P5-S2'!J14="","",'P5-S2'!J14)</f>
        <v>Not Deployed</v>
      </c>
      <c r="L46" s="2" t="str">
        <f>IF('P5-S2'!K14="","",'P5-S2'!K14)</f>
        <v>Not Deployed</v>
      </c>
      <c r="M46" s="7" t="str">
        <f>IF('P5-S2'!L14="","",'P5-S2'!L14)</f>
        <v>Harish / Aarthy</v>
      </c>
      <c r="N46" s="2" t="str">
        <f>IF('P5-S2'!M14="","",'P5-S2'!M14)</f>
        <v/>
      </c>
      <c r="O46" s="6" t="str">
        <f>IF('P5-S2'!N14="","",'P5-S2'!N14)</f>
        <v>What are the list of integrations needed.. Any preference.</v>
      </c>
    </row>
    <row r="47" spans="1:15" ht="25.5" customHeight="1">
      <c r="A47" s="2">
        <v>45</v>
      </c>
      <c r="B47" s="2" t="s">
        <v>20</v>
      </c>
      <c r="C47" s="6" t="s">
        <v>111</v>
      </c>
      <c r="D47" s="6" t="s">
        <v>116</v>
      </c>
      <c r="E47" s="2" t="s">
        <v>113</v>
      </c>
      <c r="F47" s="2" t="s">
        <v>65</v>
      </c>
      <c r="G47" s="2" t="s">
        <v>59</v>
      </c>
      <c r="H47" s="2" t="str">
        <f>IF('P5-S2'!G15="","",'P5-S2'!G15)</f>
        <v>Not Started</v>
      </c>
      <c r="I47" s="2" t="str">
        <f>IF('P5-S2'!H15="","",'P5-S2'!H15)</f>
        <v>In Progress</v>
      </c>
      <c r="J47" s="2" t="str">
        <f>IF('P5-S2'!I15="","",'P5-S2'!I15)</f>
        <v>Not Started</v>
      </c>
      <c r="K47" s="2" t="str">
        <f>IF('P5-S2'!J15="","",'P5-S2'!J15)</f>
        <v>Not Deployed</v>
      </c>
      <c r="L47" s="2" t="str">
        <f>IF('P5-S2'!K15="","",'P5-S2'!K15)</f>
        <v>Not Deployed</v>
      </c>
      <c r="M47" s="7" t="str">
        <f>IF('P5-S2'!L15="","",'P5-S2'!L15)</f>
        <v>Harish</v>
      </c>
      <c r="N47" s="2" t="str">
        <f>IF('P5-S2'!M15="","",'P5-S2'!M15)</f>
        <v/>
      </c>
      <c r="O47" s="6" t="str">
        <f>IF('P5-S2'!N15="","",'P5-S2'!N15)</f>
        <v/>
      </c>
    </row>
    <row r="48" spans="1:15" ht="25.5" customHeight="1">
      <c r="A48" s="2">
        <v>46</v>
      </c>
      <c r="B48" s="2" t="s">
        <v>20</v>
      </c>
      <c r="C48" s="6" t="s">
        <v>111</v>
      </c>
      <c r="D48" s="6" t="s">
        <v>117</v>
      </c>
      <c r="E48" s="2" t="s">
        <v>113</v>
      </c>
      <c r="F48" s="2" t="s">
        <v>65</v>
      </c>
      <c r="G48" s="2" t="s">
        <v>59</v>
      </c>
      <c r="H48" s="2" t="str">
        <f>IF('P5-S2'!G16="","",'P5-S2'!G16)</f>
        <v>Not Started</v>
      </c>
      <c r="I48" s="2" t="str">
        <f>IF('P5-S2'!H16="","",'P5-S2'!H16)</f>
        <v>In Progress</v>
      </c>
      <c r="J48" s="2" t="str">
        <f>IF('P5-S2'!I16="","",'P5-S2'!I16)</f>
        <v>Not Started</v>
      </c>
      <c r="K48" s="2" t="str">
        <f>IF('P5-S2'!J16="","",'P5-S2'!J16)</f>
        <v>Not Deployed</v>
      </c>
      <c r="L48" s="2" t="str">
        <f>IF('P5-S2'!K16="","",'P5-S2'!K16)</f>
        <v>Not Deployed</v>
      </c>
      <c r="M48" s="7" t="str">
        <f>IF('P5-S2'!L16="","",'P5-S2'!L16)</f>
        <v>Harish</v>
      </c>
      <c r="N48" s="2" t="str">
        <f>IF('P5-S2'!M16="","",'P5-S2'!M16)</f>
        <v/>
      </c>
      <c r="O48" s="6" t="str">
        <f>IF('P5-S2'!N16="","",'P5-S2'!N16)</f>
        <v/>
      </c>
    </row>
    <row r="49" spans="1:15" ht="25.5" customHeight="1">
      <c r="A49" s="2">
        <v>47</v>
      </c>
      <c r="B49" s="2" t="s">
        <v>20</v>
      </c>
      <c r="C49" s="6" t="s">
        <v>111</v>
      </c>
      <c r="D49" s="6" t="s">
        <v>118</v>
      </c>
      <c r="E49" s="2" t="s">
        <v>119</v>
      </c>
      <c r="F49" s="2" t="s">
        <v>65</v>
      </c>
      <c r="G49" s="2" t="s">
        <v>59</v>
      </c>
      <c r="H49" s="2" t="str">
        <f>IF('P5-S2'!G17="","",'P5-S2'!G17)</f>
        <v>Not Started</v>
      </c>
      <c r="I49" s="2" t="str">
        <f>IF('P5-S2'!H17="","",'P5-S2'!H17)</f>
        <v>In Progress</v>
      </c>
      <c r="J49" s="2" t="str">
        <f>IF('P5-S2'!I17="","",'P5-S2'!I17)</f>
        <v>Not Started</v>
      </c>
      <c r="K49" s="2" t="str">
        <f>IF('P5-S2'!J17="","",'P5-S2'!J17)</f>
        <v>Not Deployed</v>
      </c>
      <c r="L49" s="2" t="str">
        <f>IF('P5-S2'!K17="","",'P5-S2'!K17)</f>
        <v>Not Deployed</v>
      </c>
      <c r="M49" s="7" t="str">
        <f>IF('P5-S2'!L17="","",'P5-S2'!L17)</f>
        <v>Livesh</v>
      </c>
      <c r="N49" s="2" t="str">
        <f>IF('P5-S2'!M17="","",'P5-S2'!M17)</f>
        <v/>
      </c>
      <c r="O49" s="6" t="str">
        <f>IF('P5-S2'!N17="","",'P5-S2'!N17)</f>
        <v/>
      </c>
    </row>
    <row r="50" spans="1:15" ht="25.5" customHeight="1">
      <c r="A50" s="2">
        <v>48</v>
      </c>
      <c r="B50" s="2" t="s">
        <v>20</v>
      </c>
      <c r="C50" s="6" t="s">
        <v>111</v>
      </c>
      <c r="D50" s="6" t="s">
        <v>120</v>
      </c>
      <c r="E50" s="2" t="s">
        <v>113</v>
      </c>
      <c r="F50" s="2" t="s">
        <v>58</v>
      </c>
      <c r="G50" s="2" t="s">
        <v>68</v>
      </c>
      <c r="H50" s="2" t="str">
        <f>IF('P5-S2'!G18="","",'P5-S2'!G18)</f>
        <v>Not Started</v>
      </c>
      <c r="I50" s="2" t="str">
        <f>IF('P5-S2'!H18="","",'P5-S2'!H18)</f>
        <v>Not Started</v>
      </c>
      <c r="J50" s="2" t="str">
        <f>IF('P5-S2'!I18="","",'P5-S2'!I18)</f>
        <v>Not Started</v>
      </c>
      <c r="K50" s="2" t="str">
        <f>IF('P5-S2'!J18="","",'P5-S2'!J18)</f>
        <v>Not Deployed</v>
      </c>
      <c r="L50" s="2" t="str">
        <f>IF('P5-S2'!K18="","",'P5-S2'!K18)</f>
        <v>Not Deployed</v>
      </c>
      <c r="M50" s="7" t="str">
        <f>IF('P5-S2'!L18="","",'P5-S2'!L18)</f>
        <v>Ehthikash</v>
      </c>
      <c r="N50" s="2" t="str">
        <f>IF('P5-S2'!M18="","",'P5-S2'!M18)</f>
        <v/>
      </c>
      <c r="O50" s="6" t="str">
        <f>IF('P5-S2'!N18="","",'P5-S2'!N18)</f>
        <v/>
      </c>
    </row>
    <row r="51" spans="1:15" ht="25.5" customHeight="1">
      <c r="A51" s="2">
        <v>49</v>
      </c>
      <c r="B51" s="2" t="s">
        <v>20</v>
      </c>
      <c r="C51" s="6" t="s">
        <v>111</v>
      </c>
      <c r="D51" s="6" t="s">
        <v>121</v>
      </c>
      <c r="E51" s="2" t="s">
        <v>113</v>
      </c>
      <c r="F51" s="2" t="s">
        <v>58</v>
      </c>
      <c r="G51" s="2" t="s">
        <v>68</v>
      </c>
      <c r="H51" s="2" t="str">
        <f>IF('P5-S2'!G19="","",'P5-S2'!G19)</f>
        <v>Not Started</v>
      </c>
      <c r="I51" s="2" t="str">
        <f>IF('P5-S2'!H19="","",'P5-S2'!H19)</f>
        <v>Not Started</v>
      </c>
      <c r="J51" s="2" t="str">
        <f>IF('P5-S2'!I19="","",'P5-S2'!I19)</f>
        <v>Not Started</v>
      </c>
      <c r="K51" s="2" t="str">
        <f>IF('P5-S2'!J19="","",'P5-S2'!J19)</f>
        <v>Not Deployed</v>
      </c>
      <c r="L51" s="2" t="str">
        <f>IF('P5-S2'!K19="","",'P5-S2'!K19)</f>
        <v>Not Deployed</v>
      </c>
      <c r="M51" s="7" t="str">
        <f>IF('P5-S2'!L19="","",'P5-S2'!L19)</f>
        <v>Ehthikash</v>
      </c>
      <c r="N51" s="2" t="str">
        <f>IF('P5-S2'!M19="","",'P5-S2'!M19)</f>
        <v/>
      </c>
      <c r="O51" s="6" t="str">
        <f>IF('P5-S2'!N19="","",'P5-S2'!N19)</f>
        <v/>
      </c>
    </row>
    <row r="52" spans="1:15" ht="25.5" customHeight="1">
      <c r="A52" s="2">
        <v>50</v>
      </c>
      <c r="B52" s="2" t="s">
        <v>20</v>
      </c>
      <c r="C52" s="6" t="s">
        <v>111</v>
      </c>
      <c r="D52" s="6" t="s">
        <v>122</v>
      </c>
      <c r="E52" s="2" t="s">
        <v>113</v>
      </c>
      <c r="F52" s="2" t="s">
        <v>65</v>
      </c>
      <c r="G52" s="2" t="s">
        <v>59</v>
      </c>
      <c r="H52" s="2" t="str">
        <f>IF('P5-S2'!G20="","",'P5-S2'!G20)</f>
        <v>Not Started</v>
      </c>
      <c r="I52" s="2" t="str">
        <f>IF('P5-S2'!H20="","",'P5-S2'!H20)</f>
        <v>In Progress</v>
      </c>
      <c r="J52" s="2" t="str">
        <f>IF('P5-S2'!I20="","",'P5-S2'!I20)</f>
        <v>Not Started</v>
      </c>
      <c r="K52" s="2" t="str">
        <f>IF('P5-S2'!J20="","",'P5-S2'!J20)</f>
        <v>Not Deployed</v>
      </c>
      <c r="L52" s="2" t="str">
        <f>IF('P5-S2'!K20="","",'P5-S2'!K20)</f>
        <v>Not Deployed</v>
      </c>
      <c r="M52" s="7" t="str">
        <f>IF('P5-S2'!L20="","",'P5-S2'!L20)</f>
        <v>Livesh</v>
      </c>
      <c r="N52" s="2" t="str">
        <f>IF('P5-S2'!M20="","",'P5-S2'!M20)</f>
        <v/>
      </c>
      <c r="O52" s="6" t="str">
        <f>IF('P5-S2'!N20="","",'P5-S2'!N20)</f>
        <v/>
      </c>
    </row>
    <row r="53" spans="1:15" ht="25.5" customHeight="1">
      <c r="A53" s="2">
        <v>51</v>
      </c>
      <c r="B53" s="2" t="s">
        <v>20</v>
      </c>
      <c r="C53" s="6" t="s">
        <v>111</v>
      </c>
      <c r="D53" s="6" t="s">
        <v>123</v>
      </c>
      <c r="E53" s="2" t="s">
        <v>113</v>
      </c>
      <c r="F53" s="2" t="s">
        <v>65</v>
      </c>
      <c r="G53" s="2" t="s">
        <v>59</v>
      </c>
      <c r="H53" s="2" t="str">
        <f>IF('P5-S2'!G21="","",'P5-S2'!G21)</f>
        <v>Not Started</v>
      </c>
      <c r="I53" s="2" t="str">
        <f>IF('P5-S2'!H21="","",'P5-S2'!H21)</f>
        <v>Not Started</v>
      </c>
      <c r="J53" s="2" t="str">
        <f>IF('P5-S2'!I21="","",'P5-S2'!I21)</f>
        <v>Not Started</v>
      </c>
      <c r="K53" s="2" t="str">
        <f>IF('P5-S2'!J21="","",'P5-S2'!J21)</f>
        <v>Not Deployed</v>
      </c>
      <c r="L53" s="2" t="str">
        <f>IF('P5-S2'!K21="","",'P5-S2'!K21)</f>
        <v>Not Deployed</v>
      </c>
      <c r="M53" s="7" t="str">
        <f>IF('P5-S2'!L21="","",'P5-S2'!L21)</f>
        <v>Harish / Aarthy</v>
      </c>
      <c r="N53" s="2" t="str">
        <f>IF('P5-S2'!M21="","",'P5-S2'!M21)</f>
        <v/>
      </c>
      <c r="O53" s="6" t="str">
        <f>IF('P5-S2'!N21="","",'P5-S2'!N21)</f>
        <v/>
      </c>
    </row>
    <row r="54" spans="1:15" ht="25.5" customHeight="1">
      <c r="A54" s="2">
        <v>52</v>
      </c>
      <c r="B54" s="2" t="s">
        <v>20</v>
      </c>
      <c r="C54" s="6" t="s">
        <v>111</v>
      </c>
      <c r="D54" s="6" t="s">
        <v>124</v>
      </c>
      <c r="E54" s="2" t="s">
        <v>71</v>
      </c>
      <c r="F54" s="2" t="s">
        <v>65</v>
      </c>
      <c r="G54" s="2" t="s">
        <v>68</v>
      </c>
      <c r="H54" s="2" t="str">
        <f>IF('P5-S2'!G22="","",'P5-S2'!G22)</f>
        <v>Not Applicable</v>
      </c>
      <c r="I54" s="2" t="str">
        <f>IF('P5-S2'!H22="","",'P5-S2'!H22)</f>
        <v>In Progress</v>
      </c>
      <c r="J54" s="2" t="str">
        <f>IF('P5-S2'!I22="","",'P5-S2'!I22)</f>
        <v>Not Started</v>
      </c>
      <c r="K54" s="2" t="str">
        <f>IF('P5-S2'!J22="","",'P5-S2'!J22)</f>
        <v>Not Deployed</v>
      </c>
      <c r="L54" s="2" t="str">
        <f>IF('P5-S2'!K22="","",'P5-S2'!K22)</f>
        <v>Not Deployed</v>
      </c>
      <c r="M54" s="7" t="str">
        <f>IF('P5-S2'!L22="","",'P5-S2'!L22)</f>
        <v>Harish</v>
      </c>
      <c r="N54" s="2" t="str">
        <f>IF('P5-S2'!M22="","",'P5-S2'!M22)</f>
        <v/>
      </c>
      <c r="O54" s="6" t="str">
        <f>IF('P5-S2'!N22="","",'P5-S2'!N22)</f>
        <v/>
      </c>
    </row>
    <row r="55" spans="1:15" ht="25.5" customHeight="1">
      <c r="A55" s="2">
        <v>53</v>
      </c>
      <c r="B55" s="2" t="s">
        <v>20</v>
      </c>
      <c r="C55" s="6" t="s">
        <v>125</v>
      </c>
      <c r="D55" s="6" t="s">
        <v>126</v>
      </c>
      <c r="E55" s="2" t="s">
        <v>127</v>
      </c>
      <c r="F55" s="2" t="s">
        <v>58</v>
      </c>
      <c r="G55" s="2" t="s">
        <v>68</v>
      </c>
      <c r="H55" s="2" t="str">
        <f>IF('P5-S2'!G23="","",'P5-S2'!G23)</f>
        <v>Not Started</v>
      </c>
      <c r="I55" s="2" t="str">
        <f>IF('P5-S2'!H23="","",'P5-S2'!H23)</f>
        <v>Not Started</v>
      </c>
      <c r="J55" s="2" t="str">
        <f>IF('P5-S2'!I23="","",'P5-S2'!I23)</f>
        <v>Not Started</v>
      </c>
      <c r="K55" s="2" t="str">
        <f>IF('P5-S2'!J23="","",'P5-S2'!J23)</f>
        <v>Not Deployed</v>
      </c>
      <c r="L55" s="2" t="str">
        <f>IF('P5-S2'!K23="","",'P5-S2'!K23)</f>
        <v>Not Deployed</v>
      </c>
      <c r="M55" s="7" t="str">
        <f>IF('P5-S2'!L23="","",'P5-S2'!L23)</f>
        <v>Livesh</v>
      </c>
      <c r="N55" s="2" t="str">
        <f>IF('P5-S2'!M23="","",'P5-S2'!M23)</f>
        <v/>
      </c>
      <c r="O55" s="6" t="str">
        <f>IF('P5-S2'!N23="","",'P5-S2'!N23)</f>
        <v/>
      </c>
    </row>
    <row r="56" spans="1:15" ht="25.5" customHeight="1">
      <c r="A56" s="2">
        <v>54</v>
      </c>
      <c r="B56" s="2" t="s">
        <v>20</v>
      </c>
      <c r="C56" s="6" t="s">
        <v>125</v>
      </c>
      <c r="D56" s="6" t="s">
        <v>128</v>
      </c>
      <c r="E56" s="2" t="s">
        <v>127</v>
      </c>
      <c r="F56" s="2" t="s">
        <v>58</v>
      </c>
      <c r="G56" s="2" t="s">
        <v>68</v>
      </c>
      <c r="H56" s="2" t="str">
        <f>IF('P5-S2'!G24="","",'P5-S2'!G24)</f>
        <v>Not Started</v>
      </c>
      <c r="I56" s="2" t="str">
        <f>IF('P5-S2'!H24="","",'P5-S2'!H24)</f>
        <v>Not Started</v>
      </c>
      <c r="J56" s="2" t="str">
        <f>IF('P5-S2'!I24="","",'P5-S2'!I24)</f>
        <v>Not Started</v>
      </c>
      <c r="K56" s="2" t="str">
        <f>IF('P5-S2'!J24="","",'P5-S2'!J24)</f>
        <v>Not Deployed</v>
      </c>
      <c r="L56" s="2" t="str">
        <f>IF('P5-S2'!K24="","",'P5-S2'!K24)</f>
        <v>Not Deployed</v>
      </c>
      <c r="M56" s="7" t="str">
        <f>IF('P5-S2'!L24="","",'P5-S2'!L24)</f>
        <v>Livesh</v>
      </c>
      <c r="N56" s="2" t="str">
        <f>IF('P5-S2'!M24="","",'P5-S2'!M24)</f>
        <v/>
      </c>
      <c r="O56" s="6" t="str">
        <f>IF('P5-S2'!N24="","",'P5-S2'!N24)</f>
        <v/>
      </c>
    </row>
    <row r="57" spans="1:15" ht="25.5" customHeight="1">
      <c r="A57" s="2">
        <v>55</v>
      </c>
      <c r="B57" s="2" t="s">
        <v>20</v>
      </c>
      <c r="C57" s="6" t="s">
        <v>125</v>
      </c>
      <c r="D57" s="6" t="s">
        <v>129</v>
      </c>
      <c r="E57" s="2" t="s">
        <v>127</v>
      </c>
      <c r="F57" s="2" t="s">
        <v>58</v>
      </c>
      <c r="G57" s="2" t="s">
        <v>68</v>
      </c>
      <c r="H57" s="2" t="str">
        <f>IF('P5-S2'!G25="","",'P5-S2'!G25)</f>
        <v>Not Started</v>
      </c>
      <c r="I57" s="2" t="str">
        <f>IF('P5-S2'!H25="","",'P5-S2'!H25)</f>
        <v>Not Started</v>
      </c>
      <c r="J57" s="2" t="str">
        <f>IF('P5-S2'!I25="","",'P5-S2'!I25)</f>
        <v>Not Started</v>
      </c>
      <c r="K57" s="2" t="str">
        <f>IF('P5-S2'!J25="","",'P5-S2'!J25)</f>
        <v>Not Deployed</v>
      </c>
      <c r="L57" s="2" t="str">
        <f>IF('P5-S2'!K25="","",'P5-S2'!K25)</f>
        <v>Not Deployed</v>
      </c>
      <c r="M57" s="7" t="str">
        <f>IF('P5-S2'!L25="","",'P5-S2'!L25)</f>
        <v>Livesh</v>
      </c>
      <c r="N57" s="2" t="str">
        <f>IF('P5-S2'!M25="","",'P5-S2'!M25)</f>
        <v/>
      </c>
      <c r="O57" s="6" t="str">
        <f>IF('P5-S2'!N25="","",'P5-S2'!N25)</f>
        <v/>
      </c>
    </row>
    <row r="58" spans="1:15" ht="25.5" customHeight="1">
      <c r="A58" s="2">
        <v>56</v>
      </c>
      <c r="B58" s="2" t="s">
        <v>24</v>
      </c>
      <c r="C58" s="6" t="s">
        <v>130</v>
      </c>
      <c r="D58" s="6" t="s">
        <v>131</v>
      </c>
      <c r="E58" s="2" t="s">
        <v>132</v>
      </c>
      <c r="F58" s="2" t="s">
        <v>58</v>
      </c>
      <c r="G58" s="2" t="s">
        <v>59</v>
      </c>
      <c r="H58" s="2" t="str">
        <f>IF('P5-S3'!G3="","",'P5-S3'!G3)</f>
        <v>Not Started</v>
      </c>
      <c r="I58" s="2" t="str">
        <f>IF('P5-S3'!H3="","",'P5-S3'!H3)</f>
        <v>Not Started</v>
      </c>
      <c r="J58" s="2" t="str">
        <f>IF('P5-S3'!I3="","",'P5-S3'!I3)</f>
        <v>Not Started</v>
      </c>
      <c r="K58" s="2" t="str">
        <f>IF('P5-S3'!J3="","",'P5-S3'!J3)</f>
        <v>Not Deployed</v>
      </c>
      <c r="L58" s="2" t="str">
        <f>IF('P5-S3'!K3="","",'P5-S3'!K3)</f>
        <v>Not Deployed</v>
      </c>
      <c r="M58" s="7" t="str">
        <f>IF('P5-S3'!L3="","",'P5-S3'!L3)</f>
        <v/>
      </c>
      <c r="N58" s="2" t="str">
        <f>IF('P5-S3'!M3="","",'P5-S3'!M3)</f>
        <v/>
      </c>
      <c r="O58" s="6" t="str">
        <f>IF('P5-S3'!N3="","",'P5-S3'!N3)</f>
        <v/>
      </c>
    </row>
    <row r="59" spans="1:15" ht="25.5" customHeight="1">
      <c r="A59" s="2">
        <v>57</v>
      </c>
      <c r="B59" s="2" t="s">
        <v>24</v>
      </c>
      <c r="C59" s="6" t="s">
        <v>130</v>
      </c>
      <c r="D59" s="6" t="s">
        <v>133</v>
      </c>
      <c r="E59" s="2" t="s">
        <v>132</v>
      </c>
      <c r="F59" s="2" t="s">
        <v>58</v>
      </c>
      <c r="G59" s="2" t="s">
        <v>59</v>
      </c>
      <c r="H59" s="2" t="str">
        <f>IF('P5-S3'!G4="","",'P5-S3'!G4)</f>
        <v>Not Started</v>
      </c>
      <c r="I59" s="2" t="str">
        <f>IF('P5-S3'!H4="","",'P5-S3'!H4)</f>
        <v>Not Started</v>
      </c>
      <c r="J59" s="2" t="str">
        <f>IF('P5-S3'!I4="","",'P5-S3'!I4)</f>
        <v>Not Started</v>
      </c>
      <c r="K59" s="2" t="str">
        <f>IF('P5-S3'!J4="","",'P5-S3'!J4)</f>
        <v>Not Deployed</v>
      </c>
      <c r="L59" s="2" t="str">
        <f>IF('P5-S3'!K4="","",'P5-S3'!K4)</f>
        <v>Not Deployed</v>
      </c>
      <c r="M59" s="7" t="str">
        <f>IF('P5-S3'!L4="","",'P5-S3'!L4)</f>
        <v/>
      </c>
      <c r="N59" s="2" t="str">
        <f>IF('P5-S3'!M4="","",'P5-S3'!M4)</f>
        <v/>
      </c>
      <c r="O59" s="6" t="str">
        <f>IF('P5-S3'!N4="","",'P5-S3'!N4)</f>
        <v/>
      </c>
    </row>
    <row r="60" spans="1:15" ht="25.5" customHeight="1">
      <c r="A60" s="2">
        <v>58</v>
      </c>
      <c r="B60" s="2" t="s">
        <v>24</v>
      </c>
      <c r="C60" s="6" t="s">
        <v>130</v>
      </c>
      <c r="D60" s="6" t="s">
        <v>134</v>
      </c>
      <c r="E60" s="2" t="s">
        <v>132</v>
      </c>
      <c r="F60" s="2" t="s">
        <v>58</v>
      </c>
      <c r="G60" s="2" t="s">
        <v>59</v>
      </c>
      <c r="H60" s="2" t="str">
        <f>IF('P5-S3'!G5="","",'P5-S3'!G5)</f>
        <v>Not Started</v>
      </c>
      <c r="I60" s="2" t="str">
        <f>IF('P5-S3'!H5="","",'P5-S3'!H5)</f>
        <v>Not Started</v>
      </c>
      <c r="J60" s="2" t="str">
        <f>IF('P5-S3'!I5="","",'P5-S3'!I5)</f>
        <v>Not Started</v>
      </c>
      <c r="K60" s="2" t="str">
        <f>IF('P5-S3'!J5="","",'P5-S3'!J5)</f>
        <v>Not Deployed</v>
      </c>
      <c r="L60" s="2" t="str">
        <f>IF('P5-S3'!K5="","",'P5-S3'!K5)</f>
        <v>Not Deployed</v>
      </c>
      <c r="M60" s="7" t="str">
        <f>IF('P5-S3'!L5="","",'P5-S3'!L5)</f>
        <v/>
      </c>
      <c r="N60" s="2" t="str">
        <f>IF('P5-S3'!M5="","",'P5-S3'!M5)</f>
        <v/>
      </c>
      <c r="O60" s="6" t="str">
        <f>IF('P5-S3'!N5="","",'P5-S3'!N5)</f>
        <v/>
      </c>
    </row>
    <row r="61" spans="1:15" ht="25.5" customHeight="1">
      <c r="A61" s="2">
        <v>59</v>
      </c>
      <c r="B61" s="2" t="s">
        <v>24</v>
      </c>
      <c r="C61" s="6" t="s">
        <v>130</v>
      </c>
      <c r="D61" s="6" t="s">
        <v>135</v>
      </c>
      <c r="E61" s="2" t="s">
        <v>132</v>
      </c>
      <c r="F61" s="2" t="s">
        <v>58</v>
      </c>
      <c r="G61" s="2" t="s">
        <v>59</v>
      </c>
      <c r="H61" s="2" t="str">
        <f>IF('P5-S3'!G6="","",'P5-S3'!G6)</f>
        <v>Not Started</v>
      </c>
      <c r="I61" s="2" t="str">
        <f>IF('P5-S3'!H6="","",'P5-S3'!H6)</f>
        <v>Not Started</v>
      </c>
      <c r="J61" s="2" t="str">
        <f>IF('P5-S3'!I6="","",'P5-S3'!I6)</f>
        <v>Not Started</v>
      </c>
      <c r="K61" s="2" t="str">
        <f>IF('P5-S3'!J6="","",'P5-S3'!J6)</f>
        <v>Not Deployed</v>
      </c>
      <c r="L61" s="2" t="str">
        <f>IF('P5-S3'!K6="","",'P5-S3'!K6)</f>
        <v>Not Deployed</v>
      </c>
      <c r="M61" s="7" t="str">
        <f>IF('P5-S3'!L6="","",'P5-S3'!L6)</f>
        <v/>
      </c>
      <c r="N61" s="2" t="str">
        <f>IF('P5-S3'!M6="","",'P5-S3'!M6)</f>
        <v/>
      </c>
      <c r="O61" s="6" t="str">
        <f>IF('P5-S3'!N6="","",'P5-S3'!N6)</f>
        <v/>
      </c>
    </row>
    <row r="62" spans="1:15" ht="25.5" customHeight="1">
      <c r="A62" s="2">
        <v>60</v>
      </c>
      <c r="B62" s="2" t="s">
        <v>24</v>
      </c>
      <c r="C62" s="6" t="s">
        <v>130</v>
      </c>
      <c r="D62" s="6" t="s">
        <v>136</v>
      </c>
      <c r="E62" s="2" t="s">
        <v>132</v>
      </c>
      <c r="F62" s="2" t="s">
        <v>58</v>
      </c>
      <c r="G62" s="2" t="s">
        <v>68</v>
      </c>
      <c r="H62" s="2" t="str">
        <f>IF('P5-S3'!G7="","",'P5-S3'!G7)</f>
        <v>Not Started</v>
      </c>
      <c r="I62" s="2" t="str">
        <f>IF('P5-S3'!H7="","",'P5-S3'!H7)</f>
        <v>Not Started</v>
      </c>
      <c r="J62" s="2" t="str">
        <f>IF('P5-S3'!I7="","",'P5-S3'!I7)</f>
        <v>Not Started</v>
      </c>
      <c r="K62" s="2" t="str">
        <f>IF('P5-S3'!J7="","",'P5-S3'!J7)</f>
        <v>Not Deployed</v>
      </c>
      <c r="L62" s="2" t="str">
        <f>IF('P5-S3'!K7="","",'P5-S3'!K7)</f>
        <v>Not Deployed</v>
      </c>
      <c r="M62" s="7" t="str">
        <f>IF('P5-S3'!L7="","",'P5-S3'!L7)</f>
        <v/>
      </c>
      <c r="N62" s="2" t="str">
        <f>IF('P5-S3'!M7="","",'P5-S3'!M7)</f>
        <v/>
      </c>
      <c r="O62" s="6" t="str">
        <f>IF('P5-S3'!N7="","",'P5-S3'!N7)</f>
        <v/>
      </c>
    </row>
    <row r="63" spans="1:15" ht="25.5" customHeight="1">
      <c r="A63" s="2">
        <v>61</v>
      </c>
      <c r="B63" s="2" t="s">
        <v>24</v>
      </c>
      <c r="C63" s="6" t="s">
        <v>130</v>
      </c>
      <c r="D63" s="6" t="s">
        <v>137</v>
      </c>
      <c r="E63" s="2" t="s">
        <v>132</v>
      </c>
      <c r="F63" s="2" t="s">
        <v>65</v>
      </c>
      <c r="G63" s="2" t="s">
        <v>59</v>
      </c>
      <c r="H63" s="2" t="str">
        <f>IF('P5-S3'!G8="","",'P5-S3'!G8)</f>
        <v>Not Started</v>
      </c>
      <c r="I63" s="2" t="str">
        <f>IF('P5-S3'!H8="","",'P5-S3'!H8)</f>
        <v>Not Started</v>
      </c>
      <c r="J63" s="2" t="str">
        <f>IF('P5-S3'!I8="","",'P5-S3'!I8)</f>
        <v>Not Started</v>
      </c>
      <c r="K63" s="2" t="str">
        <f>IF('P5-S3'!J8="","",'P5-S3'!J8)</f>
        <v>Not Deployed</v>
      </c>
      <c r="L63" s="2" t="str">
        <f>IF('P5-S3'!K8="","",'P5-S3'!K8)</f>
        <v>Not Deployed</v>
      </c>
      <c r="M63" s="7" t="str">
        <f>IF('P5-S3'!L8="","",'P5-S3'!L8)</f>
        <v/>
      </c>
      <c r="N63" s="2" t="str">
        <f>IF('P5-S3'!M8="","",'P5-S3'!M8)</f>
        <v/>
      </c>
      <c r="O63" s="6" t="str">
        <f>IF('P5-S3'!N8="","",'P5-S3'!N8)</f>
        <v/>
      </c>
    </row>
    <row r="64" spans="1:15" ht="25.5" customHeight="1">
      <c r="A64" s="2">
        <v>62</v>
      </c>
      <c r="B64" s="2" t="s">
        <v>24</v>
      </c>
      <c r="C64" s="6" t="s">
        <v>138</v>
      </c>
      <c r="D64" s="6" t="s">
        <v>139</v>
      </c>
      <c r="E64" s="2" t="s">
        <v>140</v>
      </c>
      <c r="F64" s="2" t="s">
        <v>58</v>
      </c>
      <c r="G64" s="2" t="s">
        <v>59</v>
      </c>
      <c r="H64" s="2" t="str">
        <f>IF('P5-S3'!G9="","",'P5-S3'!G9)</f>
        <v>Not Started</v>
      </c>
      <c r="I64" s="2" t="str">
        <f>IF('P5-S3'!H9="","",'P5-S3'!H9)</f>
        <v>Not Started</v>
      </c>
      <c r="J64" s="2" t="str">
        <f>IF('P5-S3'!I9="","",'P5-S3'!I9)</f>
        <v>Not Started</v>
      </c>
      <c r="K64" s="2" t="str">
        <f>IF('P5-S3'!J9="","",'P5-S3'!J9)</f>
        <v>Not Deployed</v>
      </c>
      <c r="L64" s="2" t="str">
        <f>IF('P5-S3'!K9="","",'P5-S3'!K9)</f>
        <v>Not Deployed</v>
      </c>
      <c r="M64" s="7" t="str">
        <f>IF('P5-S3'!L9="","",'P5-S3'!L9)</f>
        <v/>
      </c>
      <c r="N64" s="2" t="str">
        <f>IF('P5-S3'!M9="","",'P5-S3'!M9)</f>
        <v/>
      </c>
      <c r="O64" s="6" t="str">
        <f>IF('P5-S3'!N9="","",'P5-S3'!N9)</f>
        <v/>
      </c>
    </row>
    <row r="65" spans="1:15" ht="25.5" customHeight="1">
      <c r="A65" s="2">
        <v>63</v>
      </c>
      <c r="B65" s="2" t="s">
        <v>24</v>
      </c>
      <c r="C65" s="6" t="s">
        <v>138</v>
      </c>
      <c r="D65" s="6" t="s">
        <v>141</v>
      </c>
      <c r="E65" s="2" t="s">
        <v>140</v>
      </c>
      <c r="F65" s="2" t="s">
        <v>58</v>
      </c>
      <c r="G65" s="2" t="s">
        <v>59</v>
      </c>
      <c r="H65" s="2" t="str">
        <f>IF('P5-S3'!G10="","",'P5-S3'!G10)</f>
        <v>Not Started</v>
      </c>
      <c r="I65" s="2" t="str">
        <f>IF('P5-S3'!H10="","",'P5-S3'!H10)</f>
        <v>Not Started</v>
      </c>
      <c r="J65" s="2" t="str">
        <f>IF('P5-S3'!I10="","",'P5-S3'!I10)</f>
        <v>Not Started</v>
      </c>
      <c r="K65" s="2" t="str">
        <f>IF('P5-S3'!J10="","",'P5-S3'!J10)</f>
        <v>Not Deployed</v>
      </c>
      <c r="L65" s="2" t="str">
        <f>IF('P5-S3'!K10="","",'P5-S3'!K10)</f>
        <v>Not Deployed</v>
      </c>
      <c r="M65" s="7" t="str">
        <f>IF('P5-S3'!L10="","",'P5-S3'!L10)</f>
        <v/>
      </c>
      <c r="N65" s="2" t="str">
        <f>IF('P5-S3'!M10="","",'P5-S3'!M10)</f>
        <v/>
      </c>
      <c r="O65" s="6" t="str">
        <f>IF('P5-S3'!N10="","",'P5-S3'!N10)</f>
        <v/>
      </c>
    </row>
    <row r="66" spans="1:15" ht="25.5" customHeight="1">
      <c r="A66" s="2">
        <v>64</v>
      </c>
      <c r="B66" s="2" t="s">
        <v>24</v>
      </c>
      <c r="C66" s="6" t="s">
        <v>138</v>
      </c>
      <c r="D66" s="6" t="s">
        <v>142</v>
      </c>
      <c r="E66" s="2" t="s">
        <v>140</v>
      </c>
      <c r="F66" s="2" t="s">
        <v>58</v>
      </c>
      <c r="G66" s="2" t="s">
        <v>59</v>
      </c>
      <c r="H66" s="2" t="str">
        <f>IF('P5-S3'!G11="","",'P5-S3'!G11)</f>
        <v>Not Started</v>
      </c>
      <c r="I66" s="2" t="str">
        <f>IF('P5-S3'!H11="","",'P5-S3'!H11)</f>
        <v>Not Started</v>
      </c>
      <c r="J66" s="2" t="str">
        <f>IF('P5-S3'!I11="","",'P5-S3'!I11)</f>
        <v>Not Started</v>
      </c>
      <c r="K66" s="2" t="str">
        <f>IF('P5-S3'!J11="","",'P5-S3'!J11)</f>
        <v>Not Deployed</v>
      </c>
      <c r="L66" s="2" t="str">
        <f>IF('P5-S3'!K11="","",'P5-S3'!K11)</f>
        <v>Not Deployed</v>
      </c>
      <c r="M66" s="7" t="str">
        <f>IF('P5-S3'!L11="","",'P5-S3'!L11)</f>
        <v/>
      </c>
      <c r="N66" s="2" t="str">
        <f>IF('P5-S3'!M11="","",'P5-S3'!M11)</f>
        <v/>
      </c>
      <c r="O66" s="6" t="str">
        <f>IF('P5-S3'!N11="","",'P5-S3'!N11)</f>
        <v/>
      </c>
    </row>
    <row r="67" spans="1:15" ht="25.5" customHeight="1">
      <c r="A67" s="2">
        <v>65</v>
      </c>
      <c r="B67" s="2" t="s">
        <v>24</v>
      </c>
      <c r="C67" s="6" t="s">
        <v>138</v>
      </c>
      <c r="D67" s="6" t="s">
        <v>143</v>
      </c>
      <c r="E67" s="2" t="s">
        <v>140</v>
      </c>
      <c r="F67" s="2" t="s">
        <v>58</v>
      </c>
      <c r="G67" s="2" t="s">
        <v>59</v>
      </c>
      <c r="H67" s="2" t="str">
        <f>IF('P5-S3'!G12="","",'P5-S3'!G12)</f>
        <v>Not Started</v>
      </c>
      <c r="I67" s="2" t="str">
        <f>IF('P5-S3'!H12="","",'P5-S3'!H12)</f>
        <v>Not Started</v>
      </c>
      <c r="J67" s="2" t="str">
        <f>IF('P5-S3'!I12="","",'P5-S3'!I12)</f>
        <v>Not Started</v>
      </c>
      <c r="K67" s="2" t="str">
        <f>IF('P5-S3'!J12="","",'P5-S3'!J12)</f>
        <v>Not Deployed</v>
      </c>
      <c r="L67" s="2" t="str">
        <f>IF('P5-S3'!K12="","",'P5-S3'!K12)</f>
        <v>Not Deployed</v>
      </c>
      <c r="M67" s="7" t="str">
        <f>IF('P5-S3'!L12="","",'P5-S3'!L12)</f>
        <v/>
      </c>
      <c r="N67" s="2" t="str">
        <f>IF('P5-S3'!M12="","",'P5-S3'!M12)</f>
        <v/>
      </c>
      <c r="O67" s="6" t="str">
        <f>IF('P5-S3'!N12="","",'P5-S3'!N12)</f>
        <v/>
      </c>
    </row>
    <row r="68" spans="1:15" ht="25.5" customHeight="1">
      <c r="A68" s="2">
        <v>66</v>
      </c>
      <c r="B68" s="2" t="s">
        <v>24</v>
      </c>
      <c r="C68" s="6" t="s">
        <v>138</v>
      </c>
      <c r="D68" s="6" t="s">
        <v>144</v>
      </c>
      <c r="E68" s="2" t="s">
        <v>140</v>
      </c>
      <c r="F68" s="2" t="s">
        <v>58</v>
      </c>
      <c r="G68" s="2" t="s">
        <v>59</v>
      </c>
      <c r="H68" s="2" t="str">
        <f>IF('P5-S3'!G13="","",'P5-S3'!G13)</f>
        <v>Not Started</v>
      </c>
      <c r="I68" s="2" t="str">
        <f>IF('P5-S3'!H13="","",'P5-S3'!H13)</f>
        <v>Not Started</v>
      </c>
      <c r="J68" s="2" t="str">
        <f>IF('P5-S3'!I13="","",'P5-S3'!I13)</f>
        <v>Not Started</v>
      </c>
      <c r="K68" s="2" t="str">
        <f>IF('P5-S3'!J13="","",'P5-S3'!J13)</f>
        <v>Not Deployed</v>
      </c>
      <c r="L68" s="2" t="str">
        <f>IF('P5-S3'!K13="","",'P5-S3'!K13)</f>
        <v>Not Deployed</v>
      </c>
      <c r="M68" s="7" t="str">
        <f>IF('P5-S3'!L13="","",'P5-S3'!L13)</f>
        <v/>
      </c>
      <c r="N68" s="2" t="str">
        <f>IF('P5-S3'!M13="","",'P5-S3'!M13)</f>
        <v/>
      </c>
      <c r="O68" s="6" t="str">
        <f>IF('P5-S3'!N13="","",'P5-S3'!N13)</f>
        <v/>
      </c>
    </row>
    <row r="69" spans="1:15" ht="25.5" customHeight="1">
      <c r="A69" s="2">
        <v>67</v>
      </c>
      <c r="B69" s="2" t="s">
        <v>24</v>
      </c>
      <c r="C69" s="6" t="s">
        <v>138</v>
      </c>
      <c r="D69" s="6" t="s">
        <v>145</v>
      </c>
      <c r="E69" s="2" t="s">
        <v>140</v>
      </c>
      <c r="F69" s="2" t="s">
        <v>65</v>
      </c>
      <c r="G69" s="2" t="s">
        <v>59</v>
      </c>
      <c r="H69" s="2" t="str">
        <f>IF('P5-S3'!G14="","",'P5-S3'!G14)</f>
        <v>Not Started</v>
      </c>
      <c r="I69" s="2" t="str">
        <f>IF('P5-S3'!H14="","",'P5-S3'!H14)</f>
        <v>Not Started</v>
      </c>
      <c r="J69" s="2" t="str">
        <f>IF('P5-S3'!I14="","",'P5-S3'!I14)</f>
        <v>Not Started</v>
      </c>
      <c r="K69" s="2" t="str">
        <f>IF('P5-S3'!J14="","",'P5-S3'!J14)</f>
        <v>Not Deployed</v>
      </c>
      <c r="L69" s="2" t="str">
        <f>IF('P5-S3'!K14="","",'P5-S3'!K14)</f>
        <v>Not Deployed</v>
      </c>
      <c r="M69" s="7" t="str">
        <f>IF('P5-S3'!L14="","",'P5-S3'!L14)</f>
        <v/>
      </c>
      <c r="N69" s="2" t="str">
        <f>IF('P5-S3'!M14="","",'P5-S3'!M14)</f>
        <v/>
      </c>
      <c r="O69" s="6" t="str">
        <f>IF('P5-S3'!N14="","",'P5-S3'!N14)</f>
        <v/>
      </c>
    </row>
    <row r="70" spans="1:15" ht="25.5" customHeight="1">
      <c r="A70" s="2">
        <v>68</v>
      </c>
      <c r="B70" s="2" t="s">
        <v>24</v>
      </c>
      <c r="C70" s="6" t="s">
        <v>138</v>
      </c>
      <c r="D70" s="6" t="s">
        <v>146</v>
      </c>
      <c r="E70" s="2" t="s">
        <v>140</v>
      </c>
      <c r="F70" s="2" t="s">
        <v>65</v>
      </c>
      <c r="G70" s="2" t="s">
        <v>59</v>
      </c>
      <c r="H70" s="2" t="str">
        <f>IF('P5-S3'!G15="","",'P5-S3'!G15)</f>
        <v>Not Started</v>
      </c>
      <c r="I70" s="2" t="str">
        <f>IF('P5-S3'!H15="","",'P5-S3'!H15)</f>
        <v>Not Started</v>
      </c>
      <c r="J70" s="2" t="str">
        <f>IF('P5-S3'!I15="","",'P5-S3'!I15)</f>
        <v>Not Started</v>
      </c>
      <c r="K70" s="2" t="str">
        <f>IF('P5-S3'!J15="","",'P5-S3'!J15)</f>
        <v>Not Deployed</v>
      </c>
      <c r="L70" s="2" t="str">
        <f>IF('P5-S3'!K15="","",'P5-S3'!K15)</f>
        <v>Not Deployed</v>
      </c>
      <c r="M70" s="7" t="str">
        <f>IF('P5-S3'!L15="","",'P5-S3'!L15)</f>
        <v/>
      </c>
      <c r="N70" s="2" t="str">
        <f>IF('P5-S3'!M15="","",'P5-S3'!M15)</f>
        <v/>
      </c>
      <c r="O70" s="6" t="str">
        <f>IF('P5-S3'!N15="","",'P5-S3'!N15)</f>
        <v/>
      </c>
    </row>
    <row r="71" spans="1:15" ht="25.5" customHeight="1">
      <c r="A71" s="2">
        <v>69</v>
      </c>
      <c r="B71" s="2" t="s">
        <v>24</v>
      </c>
      <c r="C71" s="6" t="s">
        <v>138</v>
      </c>
      <c r="D71" s="6" t="s">
        <v>147</v>
      </c>
      <c r="E71" s="2" t="s">
        <v>140</v>
      </c>
      <c r="F71" s="2" t="s">
        <v>65</v>
      </c>
      <c r="G71" s="2" t="s">
        <v>59</v>
      </c>
      <c r="H71" s="2" t="str">
        <f>IF('P5-S3'!G16="","",'P5-S3'!G16)</f>
        <v>Not Started</v>
      </c>
      <c r="I71" s="2" t="str">
        <f>IF('P5-S3'!H16="","",'P5-S3'!H16)</f>
        <v>Not Started</v>
      </c>
      <c r="J71" s="2" t="str">
        <f>IF('P5-S3'!I16="","",'P5-S3'!I16)</f>
        <v>Not Started</v>
      </c>
      <c r="K71" s="2" t="str">
        <f>IF('P5-S3'!J16="","",'P5-S3'!J16)</f>
        <v>Not Deployed</v>
      </c>
      <c r="L71" s="2" t="str">
        <f>IF('P5-S3'!K16="","",'P5-S3'!K16)</f>
        <v>Not Deployed</v>
      </c>
      <c r="M71" s="7" t="str">
        <f>IF('P5-S3'!L16="","",'P5-S3'!L16)</f>
        <v/>
      </c>
      <c r="N71" s="2" t="str">
        <f>IF('P5-S3'!M16="","",'P5-S3'!M16)</f>
        <v/>
      </c>
      <c r="O71" s="6" t="str">
        <f>IF('P5-S3'!N16="","",'P5-S3'!N16)</f>
        <v/>
      </c>
    </row>
    <row r="72" spans="1:15" ht="25.5" customHeight="1">
      <c r="A72" s="2">
        <v>70</v>
      </c>
      <c r="B72" s="2" t="s">
        <v>24</v>
      </c>
      <c r="C72" s="6" t="s">
        <v>148</v>
      </c>
      <c r="D72" s="6" t="s">
        <v>149</v>
      </c>
      <c r="E72" s="2" t="s">
        <v>150</v>
      </c>
      <c r="F72" s="2" t="s">
        <v>58</v>
      </c>
      <c r="G72" s="2" t="s">
        <v>59</v>
      </c>
      <c r="H72" s="2" t="str">
        <f>IF('P5-S3'!G17="","",'P5-S3'!G17)</f>
        <v>Not Started</v>
      </c>
      <c r="I72" s="2" t="str">
        <f>IF('P5-S3'!H17="","",'P5-S3'!H17)</f>
        <v>Not Started</v>
      </c>
      <c r="J72" s="2" t="str">
        <f>IF('P5-S3'!I17="","",'P5-S3'!I17)</f>
        <v>Not Started</v>
      </c>
      <c r="K72" s="2" t="str">
        <f>IF('P5-S3'!J17="","",'P5-S3'!J17)</f>
        <v>Not Deployed</v>
      </c>
      <c r="L72" s="2" t="str">
        <f>IF('P5-S3'!K17="","",'P5-S3'!K17)</f>
        <v>Not Deployed</v>
      </c>
      <c r="M72" s="7" t="str">
        <f>IF('P5-S3'!L17="","",'P5-S3'!L17)</f>
        <v/>
      </c>
      <c r="N72" s="2" t="str">
        <f>IF('P5-S3'!M17="","",'P5-S3'!M17)</f>
        <v/>
      </c>
      <c r="O72" s="6" t="str">
        <f>IF('P5-S3'!N17="","",'P5-S3'!N17)</f>
        <v/>
      </c>
    </row>
    <row r="73" spans="1:15" ht="25.5" customHeight="1">
      <c r="A73" s="2">
        <v>71</v>
      </c>
      <c r="B73" s="2" t="s">
        <v>24</v>
      </c>
      <c r="C73" s="6" t="s">
        <v>148</v>
      </c>
      <c r="D73" s="6" t="s">
        <v>151</v>
      </c>
      <c r="E73" s="2" t="s">
        <v>150</v>
      </c>
      <c r="F73" s="2" t="s">
        <v>65</v>
      </c>
      <c r="G73" s="2" t="s">
        <v>68</v>
      </c>
      <c r="H73" s="2" t="str">
        <f>IF('P5-S3'!G18="","",'P5-S3'!G18)</f>
        <v>Not Started</v>
      </c>
      <c r="I73" s="2" t="str">
        <f>IF('P5-S3'!H18="","",'P5-S3'!H18)</f>
        <v>Not Started</v>
      </c>
      <c r="J73" s="2" t="str">
        <f>IF('P5-S3'!I18="","",'P5-S3'!I18)</f>
        <v>Not Started</v>
      </c>
      <c r="K73" s="2" t="str">
        <f>IF('P5-S3'!J18="","",'P5-S3'!J18)</f>
        <v>Not Deployed</v>
      </c>
      <c r="L73" s="2" t="str">
        <f>IF('P5-S3'!K18="","",'P5-S3'!K18)</f>
        <v>Not Deployed</v>
      </c>
      <c r="M73" s="7" t="str">
        <f>IF('P5-S3'!L18="","",'P5-S3'!L18)</f>
        <v/>
      </c>
      <c r="N73" s="2" t="str">
        <f>IF('P5-S3'!M18="","",'P5-S3'!M18)</f>
        <v/>
      </c>
      <c r="O73" s="6" t="str">
        <f>IF('P5-S3'!N18="","",'P5-S3'!N18)</f>
        <v/>
      </c>
    </row>
    <row r="74" spans="1:15" ht="25.5" customHeight="1">
      <c r="A74" s="2">
        <v>72</v>
      </c>
      <c r="B74" s="2" t="s">
        <v>24</v>
      </c>
      <c r="C74" s="6" t="s">
        <v>148</v>
      </c>
      <c r="D74" s="6" t="s">
        <v>152</v>
      </c>
      <c r="E74" s="2" t="s">
        <v>150</v>
      </c>
      <c r="F74" s="2" t="s">
        <v>58</v>
      </c>
      <c r="G74" s="2" t="s">
        <v>68</v>
      </c>
      <c r="H74" s="2" t="str">
        <f>IF('P5-S3'!G19="","",'P5-S3'!G19)</f>
        <v>Not Started</v>
      </c>
      <c r="I74" s="2" t="str">
        <f>IF('P5-S3'!H19="","",'P5-S3'!H19)</f>
        <v>Not Started</v>
      </c>
      <c r="J74" s="2" t="str">
        <f>IF('P5-S3'!I19="","",'P5-S3'!I19)</f>
        <v>Not Started</v>
      </c>
      <c r="K74" s="2" t="str">
        <f>IF('P5-S3'!J19="","",'P5-S3'!J19)</f>
        <v>Not Deployed</v>
      </c>
      <c r="L74" s="2" t="str">
        <f>IF('P5-S3'!K19="","",'P5-S3'!K19)</f>
        <v>Not Deployed</v>
      </c>
      <c r="M74" s="7" t="str">
        <f>IF('P5-S3'!L19="","",'P5-S3'!L19)</f>
        <v/>
      </c>
      <c r="N74" s="2" t="str">
        <f>IF('P5-S3'!M19="","",'P5-S3'!M19)</f>
        <v/>
      </c>
      <c r="O74" s="6" t="str">
        <f>IF('P5-S3'!N19="","",'P5-S3'!N19)</f>
        <v/>
      </c>
    </row>
    <row r="75" spans="1:15" ht="25.5" customHeight="1">
      <c r="A75" s="2">
        <v>73</v>
      </c>
      <c r="B75" s="2" t="s">
        <v>24</v>
      </c>
      <c r="C75" s="6" t="s">
        <v>148</v>
      </c>
      <c r="D75" s="6" t="s">
        <v>153</v>
      </c>
      <c r="E75" s="2" t="s">
        <v>150</v>
      </c>
      <c r="F75" s="2" t="s">
        <v>65</v>
      </c>
      <c r="G75" s="2" t="s">
        <v>59</v>
      </c>
      <c r="H75" s="2" t="str">
        <f>IF('P5-S3'!G20="","",'P5-S3'!G20)</f>
        <v>Not Started</v>
      </c>
      <c r="I75" s="2" t="str">
        <f>IF('P5-S3'!H20="","",'P5-S3'!H20)</f>
        <v>Not Started</v>
      </c>
      <c r="J75" s="2" t="str">
        <f>IF('P5-S3'!I20="","",'P5-S3'!I20)</f>
        <v>Not Started</v>
      </c>
      <c r="K75" s="2" t="str">
        <f>IF('P5-S3'!J20="","",'P5-S3'!J20)</f>
        <v>Not Deployed</v>
      </c>
      <c r="L75" s="2" t="str">
        <f>IF('P5-S3'!K20="","",'P5-S3'!K20)</f>
        <v>Not Deployed</v>
      </c>
      <c r="M75" s="7" t="str">
        <f>IF('P5-S3'!L20="","",'P5-S3'!L20)</f>
        <v/>
      </c>
      <c r="N75" s="2" t="str">
        <f>IF('P5-S3'!M20="","",'P5-S3'!M20)</f>
        <v/>
      </c>
      <c r="O75" s="6" t="str">
        <f>IF('P5-S3'!N20="","",'P5-S3'!N20)</f>
        <v/>
      </c>
    </row>
    <row r="76" spans="1:15" ht="25.5" customHeight="1">
      <c r="A76" s="2">
        <v>74</v>
      </c>
      <c r="B76" s="2" t="s">
        <v>24</v>
      </c>
      <c r="C76" s="6" t="s">
        <v>148</v>
      </c>
      <c r="D76" s="6" t="s">
        <v>154</v>
      </c>
      <c r="E76" s="2" t="s">
        <v>150</v>
      </c>
      <c r="F76" s="2" t="s">
        <v>65</v>
      </c>
      <c r="G76" s="2" t="s">
        <v>59</v>
      </c>
      <c r="H76" s="2" t="str">
        <f>IF('P5-S3'!G21="","",'P5-S3'!G21)</f>
        <v>Not Started</v>
      </c>
      <c r="I76" s="2" t="str">
        <f>IF('P5-S3'!H21="","",'P5-S3'!H21)</f>
        <v>Not Started</v>
      </c>
      <c r="J76" s="2" t="str">
        <f>IF('P5-S3'!I21="","",'P5-S3'!I21)</f>
        <v>Not Started</v>
      </c>
      <c r="K76" s="2" t="str">
        <f>IF('P5-S3'!J21="","",'P5-S3'!J21)</f>
        <v>Not Deployed</v>
      </c>
      <c r="L76" s="2" t="str">
        <f>IF('P5-S3'!K21="","",'P5-S3'!K21)</f>
        <v>Not Deployed</v>
      </c>
      <c r="M76" s="7" t="str">
        <f>IF('P5-S3'!L21="","",'P5-S3'!L21)</f>
        <v/>
      </c>
      <c r="N76" s="2" t="str">
        <f>IF('P5-S3'!M21="","",'P5-S3'!M21)</f>
        <v/>
      </c>
      <c r="O76" s="6" t="str">
        <f>IF('P5-S3'!N21="","",'P5-S3'!N21)</f>
        <v/>
      </c>
    </row>
    <row r="77" spans="1:15" ht="25.5" customHeight="1">
      <c r="A77" s="2">
        <v>75</v>
      </c>
      <c r="B77" s="2" t="s">
        <v>24</v>
      </c>
      <c r="C77" s="6" t="s">
        <v>155</v>
      </c>
      <c r="D77" s="6" t="s">
        <v>156</v>
      </c>
      <c r="E77" s="2" t="s">
        <v>157</v>
      </c>
      <c r="F77" s="2" t="s">
        <v>58</v>
      </c>
      <c r="G77" s="2" t="s">
        <v>59</v>
      </c>
      <c r="H77" s="2" t="str">
        <f>IF('P5-S3'!G22="","",'P5-S3'!G22)</f>
        <v>Not Started</v>
      </c>
      <c r="I77" s="2" t="str">
        <f>IF('P5-S3'!H22="","",'P5-S3'!H22)</f>
        <v>Not Started</v>
      </c>
      <c r="J77" s="2" t="str">
        <f>IF('P5-S3'!I22="","",'P5-S3'!I22)</f>
        <v>Not Started</v>
      </c>
      <c r="K77" s="2" t="str">
        <f>IF('P5-S3'!J22="","",'P5-S3'!J22)</f>
        <v>Not Deployed</v>
      </c>
      <c r="L77" s="2" t="str">
        <f>IF('P5-S3'!K22="","",'P5-S3'!K22)</f>
        <v>Not Deployed</v>
      </c>
      <c r="M77" s="7" t="str">
        <f>IF('P5-S3'!L22="","",'P5-S3'!L22)</f>
        <v/>
      </c>
      <c r="N77" s="2" t="str">
        <f>IF('P5-S3'!M22="","",'P5-S3'!M22)</f>
        <v/>
      </c>
      <c r="O77" s="6" t="str">
        <f>IF('P5-S3'!N22="","",'P5-S3'!N22)</f>
        <v/>
      </c>
    </row>
    <row r="78" spans="1:15" ht="25.5" customHeight="1">
      <c r="A78" s="2">
        <v>76</v>
      </c>
      <c r="B78" s="2" t="s">
        <v>24</v>
      </c>
      <c r="C78" s="6" t="s">
        <v>155</v>
      </c>
      <c r="D78" s="6" t="s">
        <v>158</v>
      </c>
      <c r="E78" s="2" t="s">
        <v>157</v>
      </c>
      <c r="F78" s="2" t="s">
        <v>58</v>
      </c>
      <c r="G78" s="2" t="s">
        <v>59</v>
      </c>
      <c r="H78" s="2" t="str">
        <f>IF('P5-S3'!G23="","",'P5-S3'!G23)</f>
        <v>Not Started</v>
      </c>
      <c r="I78" s="2" t="str">
        <f>IF('P5-S3'!H23="","",'P5-S3'!H23)</f>
        <v>Not Started</v>
      </c>
      <c r="J78" s="2" t="str">
        <f>IF('P5-S3'!I23="","",'P5-S3'!I23)</f>
        <v>Not Started</v>
      </c>
      <c r="K78" s="2" t="str">
        <f>IF('P5-S3'!J23="","",'P5-S3'!J23)</f>
        <v>Not Deployed</v>
      </c>
      <c r="L78" s="2" t="str">
        <f>IF('P5-S3'!K23="","",'P5-S3'!K23)</f>
        <v>Not Deployed</v>
      </c>
      <c r="M78" s="7" t="str">
        <f>IF('P5-S3'!L23="","",'P5-S3'!L23)</f>
        <v/>
      </c>
      <c r="N78" s="2" t="str">
        <f>IF('P5-S3'!M23="","",'P5-S3'!M23)</f>
        <v/>
      </c>
      <c r="O78" s="6" t="str">
        <f>IF('P5-S3'!N23="","",'P5-S3'!N23)</f>
        <v/>
      </c>
    </row>
    <row r="79" spans="1:15" ht="25.5" customHeight="1">
      <c r="A79" s="2">
        <v>77</v>
      </c>
      <c r="B79" s="2" t="s">
        <v>24</v>
      </c>
      <c r="C79" s="6" t="s">
        <v>155</v>
      </c>
      <c r="D79" s="6" t="s">
        <v>159</v>
      </c>
      <c r="E79" s="2" t="s">
        <v>157</v>
      </c>
      <c r="F79" s="2" t="s">
        <v>58</v>
      </c>
      <c r="G79" s="2" t="s">
        <v>59</v>
      </c>
      <c r="H79" s="2" t="str">
        <f>IF('P5-S3'!G24="","",'P5-S3'!G24)</f>
        <v>Not Started</v>
      </c>
      <c r="I79" s="2" t="str">
        <f>IF('P5-S3'!H24="","",'P5-S3'!H24)</f>
        <v>Not Started</v>
      </c>
      <c r="J79" s="2" t="str">
        <f>IF('P5-S3'!I24="","",'P5-S3'!I24)</f>
        <v>Not Started</v>
      </c>
      <c r="K79" s="2" t="str">
        <f>IF('P5-S3'!J24="","",'P5-S3'!J24)</f>
        <v>Not Deployed</v>
      </c>
      <c r="L79" s="2" t="str">
        <f>IF('P5-S3'!K24="","",'P5-S3'!K24)</f>
        <v>Not Deployed</v>
      </c>
      <c r="M79" s="7" t="str">
        <f>IF('P5-S3'!L24="","",'P5-S3'!L24)</f>
        <v/>
      </c>
      <c r="N79" s="2" t="str">
        <f>IF('P5-S3'!M24="","",'P5-S3'!M24)</f>
        <v/>
      </c>
      <c r="O79" s="6" t="str">
        <f>IF('P5-S3'!N24="","",'P5-S3'!N24)</f>
        <v/>
      </c>
    </row>
    <row r="80" spans="1:15" ht="25.5" customHeight="1">
      <c r="A80" s="2">
        <v>78</v>
      </c>
      <c r="B80" s="2" t="s">
        <v>24</v>
      </c>
      <c r="C80" s="6" t="s">
        <v>155</v>
      </c>
      <c r="D80" s="6" t="s">
        <v>160</v>
      </c>
      <c r="E80" s="2" t="s">
        <v>157</v>
      </c>
      <c r="F80" s="2" t="s">
        <v>58</v>
      </c>
      <c r="G80" s="2" t="s">
        <v>59</v>
      </c>
      <c r="H80" s="2" t="str">
        <f>IF('P5-S3'!G25="","",'P5-S3'!G25)</f>
        <v>Not Started</v>
      </c>
      <c r="I80" s="2" t="str">
        <f>IF('P5-S3'!H25="","",'P5-S3'!H25)</f>
        <v>Not Started</v>
      </c>
      <c r="J80" s="2" t="str">
        <f>IF('P5-S3'!I25="","",'P5-S3'!I25)</f>
        <v>Not Started</v>
      </c>
      <c r="K80" s="2" t="str">
        <f>IF('P5-S3'!J25="","",'P5-S3'!J25)</f>
        <v>Not Deployed</v>
      </c>
      <c r="L80" s="2" t="str">
        <f>IF('P5-S3'!K25="","",'P5-S3'!K25)</f>
        <v>Not Deployed</v>
      </c>
      <c r="M80" s="7" t="str">
        <f>IF('P5-S3'!L25="","",'P5-S3'!L25)</f>
        <v/>
      </c>
      <c r="N80" s="2" t="str">
        <f>IF('P5-S3'!M25="","",'P5-S3'!M25)</f>
        <v/>
      </c>
      <c r="O80" s="6" t="str">
        <f>IF('P5-S3'!N25="","",'P5-S3'!N25)</f>
        <v/>
      </c>
    </row>
    <row r="81" spans="1:15" ht="25.5" customHeight="1">
      <c r="A81" s="2">
        <v>79</v>
      </c>
      <c r="B81" s="2" t="s">
        <v>24</v>
      </c>
      <c r="C81" s="6" t="s">
        <v>155</v>
      </c>
      <c r="D81" s="6" t="s">
        <v>161</v>
      </c>
      <c r="E81" s="2" t="s">
        <v>157</v>
      </c>
      <c r="F81" s="2" t="s">
        <v>58</v>
      </c>
      <c r="G81" s="2" t="s">
        <v>59</v>
      </c>
      <c r="H81" s="2" t="str">
        <f>IF('P5-S3'!G26="","",'P5-S3'!G26)</f>
        <v>Not Started</v>
      </c>
      <c r="I81" s="2" t="str">
        <f>IF('P5-S3'!H26="","",'P5-S3'!H26)</f>
        <v>Not Started</v>
      </c>
      <c r="J81" s="2" t="str">
        <f>IF('P5-S3'!I26="","",'P5-S3'!I26)</f>
        <v>Not Started</v>
      </c>
      <c r="K81" s="2" t="str">
        <f>IF('P5-S3'!J26="","",'P5-S3'!J26)</f>
        <v>Not Deployed</v>
      </c>
      <c r="L81" s="2" t="str">
        <f>IF('P5-S3'!K26="","",'P5-S3'!K26)</f>
        <v>Not Deployed</v>
      </c>
      <c r="M81" s="7" t="str">
        <f>IF('P5-S3'!L26="","",'P5-S3'!L26)</f>
        <v/>
      </c>
      <c r="N81" s="2" t="str">
        <f>IF('P5-S3'!M26="","",'P5-S3'!M26)</f>
        <v/>
      </c>
      <c r="O81" s="6" t="str">
        <f>IF('P5-S3'!N26="","",'P5-S3'!N26)</f>
        <v/>
      </c>
    </row>
    <row r="82" spans="1:15" ht="25.5" customHeight="1">
      <c r="A82" s="2">
        <v>80</v>
      </c>
      <c r="B82" s="2" t="s">
        <v>24</v>
      </c>
      <c r="C82" s="6" t="s">
        <v>155</v>
      </c>
      <c r="D82" s="6" t="s">
        <v>162</v>
      </c>
      <c r="E82" s="2" t="s">
        <v>157</v>
      </c>
      <c r="F82" s="2" t="s">
        <v>58</v>
      </c>
      <c r="G82" s="2" t="s">
        <v>59</v>
      </c>
      <c r="H82" s="2" t="str">
        <f>IF('P5-S3'!G27="","",'P5-S3'!G27)</f>
        <v>Not Started</v>
      </c>
      <c r="I82" s="2" t="str">
        <f>IF('P5-S3'!H27="","",'P5-S3'!H27)</f>
        <v>Not Started</v>
      </c>
      <c r="J82" s="2" t="str">
        <f>IF('P5-S3'!I27="","",'P5-S3'!I27)</f>
        <v>Not Started</v>
      </c>
      <c r="K82" s="2" t="str">
        <f>IF('P5-S3'!J27="","",'P5-S3'!J27)</f>
        <v>Not Deployed</v>
      </c>
      <c r="L82" s="2" t="str">
        <f>IF('P5-S3'!K27="","",'P5-S3'!K27)</f>
        <v>Not Deployed</v>
      </c>
      <c r="M82" s="7" t="str">
        <f>IF('P5-S3'!L27="","",'P5-S3'!L27)</f>
        <v/>
      </c>
      <c r="N82" s="2" t="str">
        <f>IF('P5-S3'!M27="","",'P5-S3'!M27)</f>
        <v/>
      </c>
      <c r="O82" s="6" t="str">
        <f>IF('P5-S3'!N27="","",'P5-S3'!N27)</f>
        <v/>
      </c>
    </row>
    <row r="83" spans="1:15" ht="25.5" customHeight="1">
      <c r="A83" s="2">
        <v>81</v>
      </c>
      <c r="B83" s="2" t="s">
        <v>24</v>
      </c>
      <c r="C83" s="6" t="s">
        <v>155</v>
      </c>
      <c r="D83" s="6" t="s">
        <v>163</v>
      </c>
      <c r="E83" s="2" t="s">
        <v>157</v>
      </c>
      <c r="F83" s="2" t="s">
        <v>58</v>
      </c>
      <c r="G83" s="2" t="s">
        <v>59</v>
      </c>
      <c r="H83" s="2" t="str">
        <f>IF('P5-S3'!G28="","",'P5-S3'!G28)</f>
        <v>Not Started</v>
      </c>
      <c r="I83" s="2" t="str">
        <f>IF('P5-S3'!H28="","",'P5-S3'!H28)</f>
        <v>Not Started</v>
      </c>
      <c r="J83" s="2" t="str">
        <f>IF('P5-S3'!I28="","",'P5-S3'!I28)</f>
        <v>Not Started</v>
      </c>
      <c r="K83" s="2" t="str">
        <f>IF('P5-S3'!J28="","",'P5-S3'!J28)</f>
        <v>Not Deployed</v>
      </c>
      <c r="L83" s="2" t="str">
        <f>IF('P5-S3'!K28="","",'P5-S3'!K28)</f>
        <v>Not Deployed</v>
      </c>
      <c r="M83" s="7" t="str">
        <f>IF('P5-S3'!L28="","",'P5-S3'!L28)</f>
        <v/>
      </c>
      <c r="N83" s="2" t="str">
        <f>IF('P5-S3'!M28="","",'P5-S3'!M28)</f>
        <v/>
      </c>
      <c r="O83" s="6" t="str">
        <f>IF('P5-S3'!N28="","",'P5-S3'!N28)</f>
        <v/>
      </c>
    </row>
    <row r="84" spans="1:15" ht="25.5" customHeight="1">
      <c r="A84" s="2">
        <v>82</v>
      </c>
      <c r="B84" s="2" t="s">
        <v>24</v>
      </c>
      <c r="C84" s="6" t="s">
        <v>155</v>
      </c>
      <c r="D84" s="6" t="s">
        <v>164</v>
      </c>
      <c r="E84" s="2" t="s">
        <v>157</v>
      </c>
      <c r="F84" s="2" t="s">
        <v>65</v>
      </c>
      <c r="G84" s="2" t="s">
        <v>59</v>
      </c>
      <c r="H84" s="2" t="str">
        <f>IF('P5-S3'!G29="","",'P5-S3'!G29)</f>
        <v>Not Started</v>
      </c>
      <c r="I84" s="2" t="str">
        <f>IF('P5-S3'!H29="","",'P5-S3'!H29)</f>
        <v>Not Started</v>
      </c>
      <c r="J84" s="2" t="str">
        <f>IF('P5-S3'!I29="","",'P5-S3'!I29)</f>
        <v>Not Started</v>
      </c>
      <c r="K84" s="2" t="str">
        <f>IF('P5-S3'!J29="","",'P5-S3'!J29)</f>
        <v>Not Deployed</v>
      </c>
      <c r="L84" s="2" t="str">
        <f>IF('P5-S3'!K29="","",'P5-S3'!K29)</f>
        <v>Not Deployed</v>
      </c>
      <c r="M84" s="7" t="str">
        <f>IF('P5-S3'!L29="","",'P5-S3'!L29)</f>
        <v/>
      </c>
      <c r="N84" s="2" t="str">
        <f>IF('P5-S3'!M29="","",'P5-S3'!M29)</f>
        <v/>
      </c>
      <c r="O84" s="6" t="str">
        <f>IF('P5-S3'!N29="","",'P5-S3'!N29)</f>
        <v/>
      </c>
    </row>
    <row r="85" spans="1:15" ht="25.5" customHeight="1">
      <c r="A85" s="2">
        <v>83</v>
      </c>
      <c r="B85" s="2" t="s">
        <v>24</v>
      </c>
      <c r="C85" s="6" t="s">
        <v>155</v>
      </c>
      <c r="D85" s="6" t="s">
        <v>165</v>
      </c>
      <c r="E85" s="2" t="s">
        <v>157</v>
      </c>
      <c r="F85" s="2" t="s">
        <v>58</v>
      </c>
      <c r="G85" s="2" t="s">
        <v>68</v>
      </c>
      <c r="H85" s="2" t="str">
        <f>IF('P5-S3'!G30="","",'P5-S3'!G30)</f>
        <v>Not Started</v>
      </c>
      <c r="I85" s="2" t="str">
        <f>IF('P5-S3'!H30="","",'P5-S3'!H30)</f>
        <v>Not Started</v>
      </c>
      <c r="J85" s="2" t="str">
        <f>IF('P5-S3'!I30="","",'P5-S3'!I30)</f>
        <v>Not Started</v>
      </c>
      <c r="K85" s="2" t="str">
        <f>IF('P5-S3'!J30="","",'P5-S3'!J30)</f>
        <v>Not Deployed</v>
      </c>
      <c r="L85" s="2" t="str">
        <f>IF('P5-S3'!K30="","",'P5-S3'!K30)</f>
        <v>Not Deployed</v>
      </c>
      <c r="M85" s="7" t="str">
        <f>IF('P5-S3'!L30="","",'P5-S3'!L30)</f>
        <v/>
      </c>
      <c r="N85" s="2" t="str">
        <f>IF('P5-S3'!M30="","",'P5-S3'!M30)</f>
        <v/>
      </c>
      <c r="O85" s="6" t="str">
        <f>IF('P5-S3'!N30="","",'P5-S3'!N30)</f>
        <v/>
      </c>
    </row>
    <row r="86" spans="1:15" ht="25.5" customHeight="1">
      <c r="A86" s="2">
        <v>84</v>
      </c>
      <c r="B86" s="2" t="s">
        <v>24</v>
      </c>
      <c r="C86" s="6" t="s">
        <v>155</v>
      </c>
      <c r="D86" s="6" t="s">
        <v>166</v>
      </c>
      <c r="E86" s="2" t="s">
        <v>157</v>
      </c>
      <c r="F86" s="2" t="s">
        <v>58</v>
      </c>
      <c r="G86" s="2" t="s">
        <v>68</v>
      </c>
      <c r="H86" s="2" t="str">
        <f>IF('P5-S3'!G31="","",'P5-S3'!G31)</f>
        <v>Not Started</v>
      </c>
      <c r="I86" s="2" t="str">
        <f>IF('P5-S3'!H31="","",'P5-S3'!H31)</f>
        <v>Not Started</v>
      </c>
      <c r="J86" s="2" t="str">
        <f>IF('P5-S3'!I31="","",'P5-S3'!I31)</f>
        <v>Not Started</v>
      </c>
      <c r="K86" s="2" t="str">
        <f>IF('P5-S3'!J31="","",'P5-S3'!J31)</f>
        <v>Not Deployed</v>
      </c>
      <c r="L86" s="2" t="str">
        <f>IF('P5-S3'!K31="","",'P5-S3'!K31)</f>
        <v>Not Deployed</v>
      </c>
      <c r="M86" s="7" t="str">
        <f>IF('P5-S3'!L31="","",'P5-S3'!L31)</f>
        <v/>
      </c>
      <c r="N86" s="2" t="str">
        <f>IF('P5-S3'!M31="","",'P5-S3'!M31)</f>
        <v/>
      </c>
      <c r="O86" s="6" t="str">
        <f>IF('P5-S3'!N31="","",'P5-S3'!N31)</f>
        <v/>
      </c>
    </row>
    <row r="87" spans="1:15" ht="25.5" customHeight="1">
      <c r="A87" s="2">
        <v>85</v>
      </c>
      <c r="B87" s="2" t="s">
        <v>24</v>
      </c>
      <c r="C87" s="6" t="s">
        <v>155</v>
      </c>
      <c r="D87" s="6" t="s">
        <v>167</v>
      </c>
      <c r="E87" s="2" t="s">
        <v>157</v>
      </c>
      <c r="F87" s="2" t="s">
        <v>58</v>
      </c>
      <c r="G87" s="2" t="s">
        <v>68</v>
      </c>
      <c r="H87" s="2" t="str">
        <f>IF('P5-S3'!G32="","",'P5-S3'!G32)</f>
        <v>Not Started</v>
      </c>
      <c r="I87" s="2" t="str">
        <f>IF('P5-S3'!H32="","",'P5-S3'!H32)</f>
        <v>Not Started</v>
      </c>
      <c r="J87" s="2" t="str">
        <f>IF('P5-S3'!I32="","",'P5-S3'!I32)</f>
        <v>Not Started</v>
      </c>
      <c r="K87" s="2" t="str">
        <f>IF('P5-S3'!J32="","",'P5-S3'!J32)</f>
        <v>Not Deployed</v>
      </c>
      <c r="L87" s="2" t="str">
        <f>IF('P5-S3'!K32="","",'P5-S3'!K32)</f>
        <v>Not Deployed</v>
      </c>
      <c r="M87" s="7" t="str">
        <f>IF('P5-S3'!L32="","",'P5-S3'!L32)</f>
        <v/>
      </c>
      <c r="N87" s="2" t="str">
        <f>IF('P5-S3'!M32="","",'P5-S3'!M32)</f>
        <v/>
      </c>
      <c r="O87" s="6" t="str">
        <f>IF('P5-S3'!N32="","",'P5-S3'!N32)</f>
        <v/>
      </c>
    </row>
    <row r="88" spans="1:15" ht="25.5" customHeight="1">
      <c r="A88" s="2">
        <v>86</v>
      </c>
      <c r="B88" s="2" t="s">
        <v>24</v>
      </c>
      <c r="C88" s="6" t="s">
        <v>155</v>
      </c>
      <c r="D88" s="6" t="s">
        <v>168</v>
      </c>
      <c r="E88" s="2" t="s">
        <v>169</v>
      </c>
      <c r="F88" s="2" t="s">
        <v>65</v>
      </c>
      <c r="G88" s="2" t="s">
        <v>59</v>
      </c>
      <c r="H88" s="2" t="str">
        <f>IF('P5-S3'!G33="","",'P5-S3'!G33)</f>
        <v>Not Started</v>
      </c>
      <c r="I88" s="2" t="str">
        <f>IF('P5-S3'!H33="","",'P5-S3'!H33)</f>
        <v>Not Started</v>
      </c>
      <c r="J88" s="2" t="str">
        <f>IF('P5-S3'!I33="","",'P5-S3'!I33)</f>
        <v>Not Started</v>
      </c>
      <c r="K88" s="2" t="str">
        <f>IF('P5-S3'!J33="","",'P5-S3'!J33)</f>
        <v>Not Deployed</v>
      </c>
      <c r="L88" s="2" t="str">
        <f>IF('P5-S3'!K33="","",'P5-S3'!K33)</f>
        <v>Not Deployed</v>
      </c>
      <c r="M88" s="7" t="str">
        <f>IF('P5-S3'!L33="","",'P5-S3'!L33)</f>
        <v/>
      </c>
      <c r="N88" s="2" t="str">
        <f>IF('P5-S3'!M33="","",'P5-S3'!M33)</f>
        <v/>
      </c>
      <c r="O88" s="6" t="str">
        <f>IF('P5-S3'!N33="","",'P5-S3'!N33)</f>
        <v/>
      </c>
    </row>
    <row r="89" spans="1:15" ht="25.5" customHeight="1">
      <c r="A89" s="2">
        <v>87</v>
      </c>
      <c r="B89" s="2" t="s">
        <v>28</v>
      </c>
      <c r="C89" s="6" t="s">
        <v>170</v>
      </c>
      <c r="D89" s="6" t="s">
        <v>171</v>
      </c>
      <c r="E89" s="2" t="s">
        <v>172</v>
      </c>
      <c r="F89" s="2" t="s">
        <v>58</v>
      </c>
      <c r="G89" s="2" t="s">
        <v>59</v>
      </c>
      <c r="H89" s="2" t="str">
        <f>IF('P5-S4'!G3="","",'P5-S4'!G3)</f>
        <v>Not Started</v>
      </c>
      <c r="I89" s="2" t="str">
        <f>IF('P5-S4'!H3="","",'P5-S4'!H3)</f>
        <v>Not Started</v>
      </c>
      <c r="J89" s="2" t="str">
        <f>IF('P5-S4'!I3="","",'P5-S4'!I3)</f>
        <v>Not Started</v>
      </c>
      <c r="K89" s="2" t="str">
        <f>IF('P5-S4'!J3="","",'P5-S4'!J3)</f>
        <v>Not Deployed</v>
      </c>
      <c r="L89" s="2" t="str">
        <f>IF('P5-S4'!K3="","",'P5-S4'!K3)</f>
        <v>Not Deployed</v>
      </c>
      <c r="M89" s="7" t="str">
        <f>IF('P5-S4'!L3="","",'P5-S4'!L3)</f>
        <v/>
      </c>
      <c r="N89" s="2" t="str">
        <f>IF('P5-S4'!M3="","",'P5-S4'!M3)</f>
        <v/>
      </c>
      <c r="O89" s="6" t="str">
        <f>IF('P5-S4'!N3="","",'P5-S4'!N3)</f>
        <v/>
      </c>
    </row>
    <row r="90" spans="1:15" ht="25.5" customHeight="1">
      <c r="A90" s="2">
        <v>88</v>
      </c>
      <c r="B90" s="2" t="s">
        <v>28</v>
      </c>
      <c r="C90" s="6" t="s">
        <v>170</v>
      </c>
      <c r="D90" s="6" t="s">
        <v>173</v>
      </c>
      <c r="E90" s="2" t="s">
        <v>172</v>
      </c>
      <c r="F90" s="2" t="s">
        <v>65</v>
      </c>
      <c r="G90" s="2" t="s">
        <v>59</v>
      </c>
      <c r="H90" s="2" t="str">
        <f>IF('P5-S4'!G4="","",'P5-S4'!G4)</f>
        <v>Not Started</v>
      </c>
      <c r="I90" s="2" t="str">
        <f>IF('P5-S4'!H4="","",'P5-S4'!H4)</f>
        <v>Not Started</v>
      </c>
      <c r="J90" s="2" t="str">
        <f>IF('P5-S4'!I4="","",'P5-S4'!I4)</f>
        <v>Not Started</v>
      </c>
      <c r="K90" s="2" t="str">
        <f>IF('P5-S4'!J4="","",'P5-S4'!J4)</f>
        <v>Not Deployed</v>
      </c>
      <c r="L90" s="2" t="str">
        <f>IF('P5-S4'!K4="","",'P5-S4'!K4)</f>
        <v>Not Deployed</v>
      </c>
      <c r="M90" s="7" t="str">
        <f>IF('P5-S4'!L4="","",'P5-S4'!L4)</f>
        <v/>
      </c>
      <c r="N90" s="2" t="str">
        <f>IF('P5-S4'!M4="","",'P5-S4'!M4)</f>
        <v/>
      </c>
      <c r="O90" s="6" t="str">
        <f>IF('P5-S4'!N4="","",'P5-S4'!N4)</f>
        <v/>
      </c>
    </row>
    <row r="91" spans="1:15" ht="25.5" customHeight="1">
      <c r="A91" s="2">
        <v>89</v>
      </c>
      <c r="B91" s="2" t="s">
        <v>28</v>
      </c>
      <c r="C91" s="6" t="s">
        <v>170</v>
      </c>
      <c r="D91" s="6" t="s">
        <v>174</v>
      </c>
      <c r="E91" s="2" t="s">
        <v>172</v>
      </c>
      <c r="F91" s="2" t="s">
        <v>58</v>
      </c>
      <c r="G91" s="2" t="s">
        <v>68</v>
      </c>
      <c r="H91" s="2" t="str">
        <f>IF('P5-S4'!G5="","",'P5-S4'!G5)</f>
        <v>Not Started</v>
      </c>
      <c r="I91" s="2" t="str">
        <f>IF('P5-S4'!H5="","",'P5-S4'!H5)</f>
        <v>Not Started</v>
      </c>
      <c r="J91" s="2" t="str">
        <f>IF('P5-S4'!I5="","",'P5-S4'!I5)</f>
        <v>Not Started</v>
      </c>
      <c r="K91" s="2" t="str">
        <f>IF('P5-S4'!J5="","",'P5-S4'!J5)</f>
        <v>Not Deployed</v>
      </c>
      <c r="L91" s="2" t="str">
        <f>IF('P5-S4'!K5="","",'P5-S4'!K5)</f>
        <v>Not Deployed</v>
      </c>
      <c r="M91" s="7" t="str">
        <f>IF('P5-S4'!L5="","",'P5-S4'!L5)</f>
        <v/>
      </c>
      <c r="N91" s="2" t="str">
        <f>IF('P5-S4'!M5="","",'P5-S4'!M5)</f>
        <v/>
      </c>
      <c r="O91" s="6" t="str">
        <f>IF('P5-S4'!N5="","",'P5-S4'!N5)</f>
        <v/>
      </c>
    </row>
    <row r="92" spans="1:15" ht="25.5" customHeight="1">
      <c r="A92" s="2">
        <v>90</v>
      </c>
      <c r="B92" s="2" t="s">
        <v>28</v>
      </c>
      <c r="C92" s="6" t="s">
        <v>170</v>
      </c>
      <c r="D92" s="6" t="s">
        <v>175</v>
      </c>
      <c r="E92" s="2" t="s">
        <v>172</v>
      </c>
      <c r="F92" s="2" t="s">
        <v>58</v>
      </c>
      <c r="G92" s="2" t="s">
        <v>59</v>
      </c>
      <c r="H92" s="2" t="str">
        <f>IF('P5-S4'!G6="","",'P5-S4'!G6)</f>
        <v>Not Started</v>
      </c>
      <c r="I92" s="2" t="str">
        <f>IF('P5-S4'!H6="","",'P5-S4'!H6)</f>
        <v>Not Started</v>
      </c>
      <c r="J92" s="2" t="str">
        <f>IF('P5-S4'!I6="","",'P5-S4'!I6)</f>
        <v>Not Started</v>
      </c>
      <c r="K92" s="2" t="str">
        <f>IF('P5-S4'!J6="","",'P5-S4'!J6)</f>
        <v>Not Deployed</v>
      </c>
      <c r="L92" s="2" t="str">
        <f>IF('P5-S4'!K6="","",'P5-S4'!K6)</f>
        <v>Not Deployed</v>
      </c>
      <c r="M92" s="7" t="str">
        <f>IF('P5-S4'!L6="","",'P5-S4'!L6)</f>
        <v/>
      </c>
      <c r="N92" s="2" t="str">
        <f>IF('P5-S4'!M6="","",'P5-S4'!M6)</f>
        <v/>
      </c>
      <c r="O92" s="6" t="str">
        <f>IF('P5-S4'!N6="","",'P5-S4'!N6)</f>
        <v/>
      </c>
    </row>
    <row r="93" spans="1:15" ht="25.5" customHeight="1">
      <c r="A93" s="2">
        <v>91</v>
      </c>
      <c r="B93" s="2" t="s">
        <v>28</v>
      </c>
      <c r="C93" s="6" t="s">
        <v>170</v>
      </c>
      <c r="D93" s="6" t="s">
        <v>176</v>
      </c>
      <c r="E93" s="2" t="s">
        <v>172</v>
      </c>
      <c r="F93" s="2" t="s">
        <v>65</v>
      </c>
      <c r="G93" s="2" t="s">
        <v>59</v>
      </c>
      <c r="H93" s="2" t="str">
        <f>IF('P5-S4'!G7="","",'P5-S4'!G7)</f>
        <v>Not Started</v>
      </c>
      <c r="I93" s="2" t="str">
        <f>IF('P5-S4'!H7="","",'P5-S4'!H7)</f>
        <v>Not Started</v>
      </c>
      <c r="J93" s="2" t="str">
        <f>IF('P5-S4'!I7="","",'P5-S4'!I7)</f>
        <v>Not Started</v>
      </c>
      <c r="K93" s="2" t="str">
        <f>IF('P5-S4'!J7="","",'P5-S4'!J7)</f>
        <v>Not Deployed</v>
      </c>
      <c r="L93" s="2" t="str">
        <f>IF('P5-S4'!K7="","",'P5-S4'!K7)</f>
        <v>Not Deployed</v>
      </c>
      <c r="M93" s="7" t="str">
        <f>IF('P5-S4'!L7="","",'P5-S4'!L7)</f>
        <v/>
      </c>
      <c r="N93" s="2" t="str">
        <f>IF('P5-S4'!M7="","",'P5-S4'!M7)</f>
        <v/>
      </c>
      <c r="O93" s="6" t="str">
        <f>IF('P5-S4'!N7="","",'P5-S4'!N7)</f>
        <v/>
      </c>
    </row>
    <row r="94" spans="1:15" ht="25.5" customHeight="1">
      <c r="A94" s="2">
        <v>92</v>
      </c>
      <c r="B94" s="2" t="s">
        <v>28</v>
      </c>
      <c r="C94" s="6" t="s">
        <v>177</v>
      </c>
      <c r="D94" s="6" t="s">
        <v>178</v>
      </c>
      <c r="E94" s="2" t="s">
        <v>179</v>
      </c>
      <c r="F94" s="2" t="s">
        <v>58</v>
      </c>
      <c r="G94" s="2" t="s">
        <v>59</v>
      </c>
      <c r="H94" s="2" t="str">
        <f>IF('P5-S4'!G8="","",'P5-S4'!G8)</f>
        <v>Not Started</v>
      </c>
      <c r="I94" s="2" t="str">
        <f>IF('P5-S4'!H8="","",'P5-S4'!H8)</f>
        <v>Not Started</v>
      </c>
      <c r="J94" s="2" t="str">
        <f>IF('P5-S4'!I8="","",'P5-S4'!I8)</f>
        <v>Not Started</v>
      </c>
      <c r="K94" s="2" t="str">
        <f>IF('P5-S4'!J8="","",'P5-S4'!J8)</f>
        <v>Not Deployed</v>
      </c>
      <c r="L94" s="2" t="str">
        <f>IF('P5-S4'!K8="","",'P5-S4'!K8)</f>
        <v>Not Deployed</v>
      </c>
      <c r="M94" s="7" t="str">
        <f>IF('P5-S4'!L8="","",'P5-S4'!L8)</f>
        <v/>
      </c>
      <c r="N94" s="2" t="str">
        <f>IF('P5-S4'!M8="","",'P5-S4'!M8)</f>
        <v/>
      </c>
      <c r="O94" s="6" t="str">
        <f>IF('P5-S4'!N8="","",'P5-S4'!N8)</f>
        <v/>
      </c>
    </row>
    <row r="95" spans="1:15" ht="25.5" customHeight="1">
      <c r="A95" s="2">
        <v>93</v>
      </c>
      <c r="B95" s="2" t="s">
        <v>28</v>
      </c>
      <c r="C95" s="6" t="s">
        <v>177</v>
      </c>
      <c r="D95" s="6" t="s">
        <v>180</v>
      </c>
      <c r="E95" s="2" t="s">
        <v>179</v>
      </c>
      <c r="F95" s="2" t="s">
        <v>58</v>
      </c>
      <c r="G95" s="2" t="s">
        <v>59</v>
      </c>
      <c r="H95" s="2" t="str">
        <f>IF('P5-S4'!G9="","",'P5-S4'!G9)</f>
        <v>Not Started</v>
      </c>
      <c r="I95" s="2" t="str">
        <f>IF('P5-S4'!H9="","",'P5-S4'!H9)</f>
        <v>Not Started</v>
      </c>
      <c r="J95" s="2" t="str">
        <f>IF('P5-S4'!I9="","",'P5-S4'!I9)</f>
        <v>Not Started</v>
      </c>
      <c r="K95" s="2" t="str">
        <f>IF('P5-S4'!J9="","",'P5-S4'!J9)</f>
        <v>Not Deployed</v>
      </c>
      <c r="L95" s="2" t="str">
        <f>IF('P5-S4'!K9="","",'P5-S4'!K9)</f>
        <v>Not Deployed</v>
      </c>
      <c r="M95" s="7" t="str">
        <f>IF('P5-S4'!L9="","",'P5-S4'!L9)</f>
        <v/>
      </c>
      <c r="N95" s="2" t="str">
        <f>IF('P5-S4'!M9="","",'P5-S4'!M9)</f>
        <v/>
      </c>
      <c r="O95" s="6" t="str">
        <f>IF('P5-S4'!N9="","",'P5-S4'!N9)</f>
        <v/>
      </c>
    </row>
    <row r="96" spans="1:15" ht="25.5" customHeight="1">
      <c r="A96" s="2">
        <v>94</v>
      </c>
      <c r="B96" s="2" t="s">
        <v>28</v>
      </c>
      <c r="C96" s="6" t="s">
        <v>177</v>
      </c>
      <c r="D96" s="6" t="s">
        <v>181</v>
      </c>
      <c r="E96" s="2" t="s">
        <v>179</v>
      </c>
      <c r="F96" s="2" t="s">
        <v>58</v>
      </c>
      <c r="G96" s="2" t="s">
        <v>68</v>
      </c>
      <c r="H96" s="2" t="str">
        <f>IF('P5-S4'!G10="","",'P5-S4'!G10)</f>
        <v>Not Started</v>
      </c>
      <c r="I96" s="2" t="str">
        <f>IF('P5-S4'!H10="","",'P5-S4'!H10)</f>
        <v>Not Started</v>
      </c>
      <c r="J96" s="2" t="str">
        <f>IF('P5-S4'!I10="","",'P5-S4'!I10)</f>
        <v>Not Started</v>
      </c>
      <c r="K96" s="2" t="str">
        <f>IF('P5-S4'!J10="","",'P5-S4'!J10)</f>
        <v>Not Deployed</v>
      </c>
      <c r="L96" s="2" t="str">
        <f>IF('P5-S4'!K10="","",'P5-S4'!K10)</f>
        <v>Not Deployed</v>
      </c>
      <c r="M96" s="7" t="str">
        <f>IF('P5-S4'!L10="","",'P5-S4'!L10)</f>
        <v/>
      </c>
      <c r="N96" s="2" t="str">
        <f>IF('P5-S4'!M10="","",'P5-S4'!M10)</f>
        <v/>
      </c>
      <c r="O96" s="6" t="str">
        <f>IF('P5-S4'!N10="","",'P5-S4'!N10)</f>
        <v/>
      </c>
    </row>
    <row r="97" spans="1:15" ht="25.5" customHeight="1">
      <c r="A97" s="2">
        <v>95</v>
      </c>
      <c r="B97" s="2" t="s">
        <v>28</v>
      </c>
      <c r="C97" s="6" t="s">
        <v>182</v>
      </c>
      <c r="D97" s="6" t="s">
        <v>183</v>
      </c>
      <c r="E97" s="2" t="s">
        <v>184</v>
      </c>
      <c r="F97" s="2" t="s">
        <v>65</v>
      </c>
      <c r="G97" s="2" t="s">
        <v>59</v>
      </c>
      <c r="H97" s="2" t="str">
        <f>IF('P5-S4'!G11="","",'P5-S4'!G11)</f>
        <v>Not Started</v>
      </c>
      <c r="I97" s="2" t="str">
        <f>IF('P5-S4'!H11="","",'P5-S4'!H11)</f>
        <v>Not Started</v>
      </c>
      <c r="J97" s="2" t="str">
        <f>IF('P5-S4'!I11="","",'P5-S4'!I11)</f>
        <v>Not Started</v>
      </c>
      <c r="K97" s="2" t="str">
        <f>IF('P5-S4'!J11="","",'P5-S4'!J11)</f>
        <v>Not Deployed</v>
      </c>
      <c r="L97" s="2" t="str">
        <f>IF('P5-S4'!K11="","",'P5-S4'!K11)</f>
        <v>Not Deployed</v>
      </c>
      <c r="M97" s="7" t="str">
        <f>IF('P5-S4'!L11="","",'P5-S4'!L11)</f>
        <v/>
      </c>
      <c r="N97" s="2" t="str">
        <f>IF('P5-S4'!M11="","",'P5-S4'!M11)</f>
        <v/>
      </c>
      <c r="O97" s="6" t="str">
        <f>IF('P5-S4'!N11="","",'P5-S4'!N11)</f>
        <v/>
      </c>
    </row>
    <row r="98" spans="1:15" ht="25.5" customHeight="1">
      <c r="A98" s="2">
        <v>96</v>
      </c>
      <c r="B98" s="2" t="s">
        <v>28</v>
      </c>
      <c r="C98" s="6" t="s">
        <v>182</v>
      </c>
      <c r="D98" s="6" t="s">
        <v>185</v>
      </c>
      <c r="E98" s="2" t="s">
        <v>184</v>
      </c>
      <c r="F98" s="2" t="s">
        <v>65</v>
      </c>
      <c r="G98" s="2" t="s">
        <v>59</v>
      </c>
      <c r="H98" s="2" t="str">
        <f>IF('P5-S4'!G12="","",'P5-S4'!G12)</f>
        <v>Not Started</v>
      </c>
      <c r="I98" s="2" t="str">
        <f>IF('P5-S4'!H12="","",'P5-S4'!H12)</f>
        <v>Not Started</v>
      </c>
      <c r="J98" s="2" t="str">
        <f>IF('P5-S4'!I12="","",'P5-S4'!I12)</f>
        <v>Not Started</v>
      </c>
      <c r="K98" s="2" t="str">
        <f>IF('P5-S4'!J12="","",'P5-S4'!J12)</f>
        <v>Not Deployed</v>
      </c>
      <c r="L98" s="2" t="str">
        <f>IF('P5-S4'!K12="","",'P5-S4'!K12)</f>
        <v>Not Deployed</v>
      </c>
      <c r="M98" s="7" t="str">
        <f>IF('P5-S4'!L12="","",'P5-S4'!L12)</f>
        <v/>
      </c>
      <c r="N98" s="2" t="str">
        <f>IF('P5-S4'!M12="","",'P5-S4'!M12)</f>
        <v/>
      </c>
      <c r="O98" s="6" t="str">
        <f>IF('P5-S4'!N12="","",'P5-S4'!N12)</f>
        <v/>
      </c>
    </row>
    <row r="99" spans="1:15" ht="25.5" customHeight="1">
      <c r="A99" s="2">
        <v>97</v>
      </c>
      <c r="B99" s="2" t="s">
        <v>28</v>
      </c>
      <c r="C99" s="6" t="s">
        <v>182</v>
      </c>
      <c r="D99" s="6" t="s">
        <v>186</v>
      </c>
      <c r="E99" s="2" t="s">
        <v>184</v>
      </c>
      <c r="F99" s="2" t="s">
        <v>58</v>
      </c>
      <c r="G99" s="2" t="s">
        <v>59</v>
      </c>
      <c r="H99" s="2" t="str">
        <f>IF('P5-S4'!G13="","",'P5-S4'!G13)</f>
        <v>Not Started</v>
      </c>
      <c r="I99" s="2" t="str">
        <f>IF('P5-S4'!H13="","",'P5-S4'!H13)</f>
        <v>Not Started</v>
      </c>
      <c r="J99" s="2" t="str">
        <f>IF('P5-S4'!I13="","",'P5-S4'!I13)</f>
        <v>Not Started</v>
      </c>
      <c r="K99" s="2" t="str">
        <f>IF('P5-S4'!J13="","",'P5-S4'!J13)</f>
        <v>Not Deployed</v>
      </c>
      <c r="L99" s="2" t="str">
        <f>IF('P5-S4'!K13="","",'P5-S4'!K13)</f>
        <v>Not Deployed</v>
      </c>
      <c r="M99" s="7" t="str">
        <f>IF('P5-S4'!L13="","",'P5-S4'!L13)</f>
        <v/>
      </c>
      <c r="N99" s="2" t="str">
        <f>IF('P5-S4'!M13="","",'P5-S4'!M13)</f>
        <v/>
      </c>
      <c r="O99" s="6" t="str">
        <f>IF('P5-S4'!N13="","",'P5-S4'!N13)</f>
        <v/>
      </c>
    </row>
    <row r="100" spans="1:15" ht="25.5" customHeight="1">
      <c r="A100" s="2">
        <v>98</v>
      </c>
      <c r="B100" s="2" t="s">
        <v>28</v>
      </c>
      <c r="C100" s="6" t="s">
        <v>182</v>
      </c>
      <c r="D100" s="6" t="s">
        <v>187</v>
      </c>
      <c r="E100" s="2" t="s">
        <v>184</v>
      </c>
      <c r="F100" s="2" t="s">
        <v>65</v>
      </c>
      <c r="G100" s="2" t="s">
        <v>59</v>
      </c>
      <c r="H100" s="2" t="str">
        <f>IF('P5-S4'!G14="","",'P5-S4'!G14)</f>
        <v>Not Started</v>
      </c>
      <c r="I100" s="2" t="str">
        <f>IF('P5-S4'!H14="","",'P5-S4'!H14)</f>
        <v>Not Started</v>
      </c>
      <c r="J100" s="2" t="str">
        <f>IF('P5-S4'!I14="","",'P5-S4'!I14)</f>
        <v>Not Started</v>
      </c>
      <c r="K100" s="2" t="str">
        <f>IF('P5-S4'!J14="","",'P5-S4'!J14)</f>
        <v>Not Deployed</v>
      </c>
      <c r="L100" s="2" t="str">
        <f>IF('P5-S4'!K14="","",'P5-S4'!K14)</f>
        <v>Not Deployed</v>
      </c>
      <c r="M100" s="7" t="str">
        <f>IF('P5-S4'!L14="","",'P5-S4'!L14)</f>
        <v/>
      </c>
      <c r="N100" s="2" t="str">
        <f>IF('P5-S4'!M14="","",'P5-S4'!M14)</f>
        <v/>
      </c>
      <c r="O100" s="6" t="str">
        <f>IF('P5-S4'!N14="","",'P5-S4'!N14)</f>
        <v/>
      </c>
    </row>
    <row r="101" spans="1:15" ht="25.5" customHeight="1">
      <c r="A101" s="2">
        <v>99</v>
      </c>
      <c r="B101" s="2" t="s">
        <v>28</v>
      </c>
      <c r="C101" s="6" t="s">
        <v>182</v>
      </c>
      <c r="D101" s="6" t="s">
        <v>188</v>
      </c>
      <c r="E101" s="2" t="s">
        <v>184</v>
      </c>
      <c r="F101" s="2" t="s">
        <v>65</v>
      </c>
      <c r="G101" s="2" t="s">
        <v>59</v>
      </c>
      <c r="H101" s="2" t="str">
        <f>IF('P5-S4'!G15="","",'P5-S4'!G15)</f>
        <v>Not Started</v>
      </c>
      <c r="I101" s="2" t="str">
        <f>IF('P5-S4'!H15="","",'P5-S4'!H15)</f>
        <v>Not Started</v>
      </c>
      <c r="J101" s="2" t="str">
        <f>IF('P5-S4'!I15="","",'P5-S4'!I15)</f>
        <v>Not Started</v>
      </c>
      <c r="K101" s="2" t="str">
        <f>IF('P5-S4'!J15="","",'P5-S4'!J15)</f>
        <v>Not Deployed</v>
      </c>
      <c r="L101" s="2" t="str">
        <f>IF('P5-S4'!K15="","",'P5-S4'!K15)</f>
        <v>Not Deployed</v>
      </c>
      <c r="M101" s="7" t="str">
        <f>IF('P5-S4'!L15="","",'P5-S4'!L15)</f>
        <v/>
      </c>
      <c r="N101" s="2" t="str">
        <f>IF('P5-S4'!M15="","",'P5-S4'!M15)</f>
        <v/>
      </c>
      <c r="O101" s="6" t="str">
        <f>IF('P5-S4'!N15="","",'P5-S4'!N15)</f>
        <v/>
      </c>
    </row>
    <row r="102" spans="1:15" ht="25.5" customHeight="1">
      <c r="A102" s="2">
        <v>100</v>
      </c>
      <c r="B102" s="2" t="s">
        <v>28</v>
      </c>
      <c r="C102" s="6" t="s">
        <v>182</v>
      </c>
      <c r="D102" s="6" t="s">
        <v>189</v>
      </c>
      <c r="E102" s="2" t="s">
        <v>184</v>
      </c>
      <c r="F102" s="2" t="s">
        <v>58</v>
      </c>
      <c r="G102" s="2" t="s">
        <v>59</v>
      </c>
      <c r="H102" s="2" t="str">
        <f>IF('P5-S4'!G16="","",'P5-S4'!G16)</f>
        <v>Not Started</v>
      </c>
      <c r="I102" s="2" t="str">
        <f>IF('P5-S4'!H16="","",'P5-S4'!H16)</f>
        <v>Not Started</v>
      </c>
      <c r="J102" s="2" t="str">
        <f>IF('P5-S4'!I16="","",'P5-S4'!I16)</f>
        <v>Not Started</v>
      </c>
      <c r="K102" s="2" t="str">
        <f>IF('P5-S4'!J16="","",'P5-S4'!J16)</f>
        <v>Not Deployed</v>
      </c>
      <c r="L102" s="2" t="str">
        <f>IF('P5-S4'!K16="","",'P5-S4'!K16)</f>
        <v>Not Deployed</v>
      </c>
      <c r="M102" s="7" t="str">
        <f>IF('P5-S4'!L16="","",'P5-S4'!L16)</f>
        <v/>
      </c>
      <c r="N102" s="2" t="str">
        <f>IF('P5-S4'!M16="","",'P5-S4'!M16)</f>
        <v/>
      </c>
      <c r="O102" s="6" t="str">
        <f>IF('P5-S4'!N16="","",'P5-S4'!N16)</f>
        <v/>
      </c>
    </row>
    <row r="103" spans="1:15" ht="25.5" customHeight="1">
      <c r="A103" s="2">
        <v>101</v>
      </c>
      <c r="B103" s="2" t="s">
        <v>28</v>
      </c>
      <c r="C103" s="6" t="s">
        <v>182</v>
      </c>
      <c r="D103" s="6" t="s">
        <v>190</v>
      </c>
      <c r="E103" s="2" t="s">
        <v>184</v>
      </c>
      <c r="F103" s="2" t="s">
        <v>65</v>
      </c>
      <c r="G103" s="2" t="s">
        <v>68</v>
      </c>
      <c r="H103" s="2" t="str">
        <f>IF('P5-S4'!G17="","",'P5-S4'!G17)</f>
        <v>Not Started</v>
      </c>
      <c r="I103" s="2" t="str">
        <f>IF('P5-S4'!H17="","",'P5-S4'!H17)</f>
        <v>Not Started</v>
      </c>
      <c r="J103" s="2" t="str">
        <f>IF('P5-S4'!I17="","",'P5-S4'!I17)</f>
        <v>Not Started</v>
      </c>
      <c r="K103" s="2" t="str">
        <f>IF('P5-S4'!J17="","",'P5-S4'!J17)</f>
        <v>Not Deployed</v>
      </c>
      <c r="L103" s="2" t="str">
        <f>IF('P5-S4'!K17="","",'P5-S4'!K17)</f>
        <v>Not Deployed</v>
      </c>
      <c r="M103" s="7" t="str">
        <f>IF('P5-S4'!L17="","",'P5-S4'!L17)</f>
        <v/>
      </c>
      <c r="N103" s="2" t="str">
        <f>IF('P5-S4'!M17="","",'P5-S4'!M17)</f>
        <v/>
      </c>
      <c r="O103" s="6" t="str">
        <f>IF('P5-S4'!N17="","",'P5-S4'!N17)</f>
        <v/>
      </c>
    </row>
    <row r="104" spans="1:15" ht="25.5" customHeight="1">
      <c r="A104" s="2">
        <v>102</v>
      </c>
      <c r="B104" s="2" t="s">
        <v>28</v>
      </c>
      <c r="C104" s="6" t="s">
        <v>191</v>
      </c>
      <c r="D104" s="6" t="s">
        <v>192</v>
      </c>
      <c r="E104" s="2" t="s">
        <v>193</v>
      </c>
      <c r="F104" s="2" t="s">
        <v>58</v>
      </c>
      <c r="G104" s="2" t="s">
        <v>59</v>
      </c>
      <c r="H104" s="2" t="str">
        <f>IF('P5-S4'!G18="","",'P5-S4'!G18)</f>
        <v>Not Started</v>
      </c>
      <c r="I104" s="2" t="str">
        <f>IF('P5-S4'!H18="","",'P5-S4'!H18)</f>
        <v>Not Started</v>
      </c>
      <c r="J104" s="2" t="str">
        <f>IF('P5-S4'!I18="","",'P5-S4'!I18)</f>
        <v>Not Started</v>
      </c>
      <c r="K104" s="2" t="str">
        <f>IF('P5-S4'!J18="","",'P5-S4'!J18)</f>
        <v>Not Deployed</v>
      </c>
      <c r="L104" s="2" t="str">
        <f>IF('P5-S4'!K18="","",'P5-S4'!K18)</f>
        <v>Not Deployed</v>
      </c>
      <c r="M104" s="7" t="str">
        <f>IF('P5-S4'!L18="","",'P5-S4'!L18)</f>
        <v/>
      </c>
      <c r="N104" s="2" t="str">
        <f>IF('P5-S4'!M18="","",'P5-S4'!M18)</f>
        <v/>
      </c>
      <c r="O104" s="6" t="str">
        <f>IF('P5-S4'!N18="","",'P5-S4'!N18)</f>
        <v/>
      </c>
    </row>
    <row r="105" spans="1:15" ht="25.5" customHeight="1">
      <c r="A105" s="2">
        <v>103</v>
      </c>
      <c r="B105" s="2" t="s">
        <v>28</v>
      </c>
      <c r="C105" s="6" t="s">
        <v>191</v>
      </c>
      <c r="D105" s="6" t="s">
        <v>194</v>
      </c>
      <c r="E105" s="2" t="s">
        <v>193</v>
      </c>
      <c r="F105" s="2" t="s">
        <v>58</v>
      </c>
      <c r="G105" s="2" t="s">
        <v>59</v>
      </c>
      <c r="H105" s="2" t="str">
        <f>IF('P5-S4'!G19="","",'P5-S4'!G19)</f>
        <v>Not Started</v>
      </c>
      <c r="I105" s="2" t="str">
        <f>IF('P5-S4'!H19="","",'P5-S4'!H19)</f>
        <v>Not Started</v>
      </c>
      <c r="J105" s="2" t="str">
        <f>IF('P5-S4'!I19="","",'P5-S4'!I19)</f>
        <v>Not Started</v>
      </c>
      <c r="K105" s="2" t="str">
        <f>IF('P5-S4'!J19="","",'P5-S4'!J19)</f>
        <v>Not Deployed</v>
      </c>
      <c r="L105" s="2" t="str">
        <f>IF('P5-S4'!K19="","",'P5-S4'!K19)</f>
        <v>Not Deployed</v>
      </c>
      <c r="M105" s="7" t="str">
        <f>IF('P5-S4'!L19="","",'P5-S4'!L19)</f>
        <v/>
      </c>
      <c r="N105" s="2" t="str">
        <f>IF('P5-S4'!M19="","",'P5-S4'!M19)</f>
        <v/>
      </c>
      <c r="O105" s="6" t="str">
        <f>IF('P5-S4'!N19="","",'P5-S4'!N19)</f>
        <v/>
      </c>
    </row>
    <row r="106" spans="1:15" ht="25.5" customHeight="1">
      <c r="A106" s="2">
        <v>104</v>
      </c>
      <c r="B106" s="2" t="s">
        <v>28</v>
      </c>
      <c r="C106" s="6" t="s">
        <v>191</v>
      </c>
      <c r="D106" s="6" t="s">
        <v>195</v>
      </c>
      <c r="E106" s="2" t="s">
        <v>193</v>
      </c>
      <c r="F106" s="2" t="s">
        <v>58</v>
      </c>
      <c r="G106" s="2" t="s">
        <v>59</v>
      </c>
      <c r="H106" s="2" t="str">
        <f>IF('P5-S4'!G20="","",'P5-S4'!G20)</f>
        <v>Not Started</v>
      </c>
      <c r="I106" s="2" t="str">
        <f>IF('P5-S4'!H20="","",'P5-S4'!H20)</f>
        <v>Not Started</v>
      </c>
      <c r="J106" s="2" t="str">
        <f>IF('P5-S4'!I20="","",'P5-S4'!I20)</f>
        <v>Not Started</v>
      </c>
      <c r="K106" s="2" t="str">
        <f>IF('P5-S4'!J20="","",'P5-S4'!J20)</f>
        <v>Not Deployed</v>
      </c>
      <c r="L106" s="2" t="str">
        <f>IF('P5-S4'!K20="","",'P5-S4'!K20)</f>
        <v>Not Deployed</v>
      </c>
      <c r="M106" s="7" t="str">
        <f>IF('P5-S4'!L20="","",'P5-S4'!L20)</f>
        <v/>
      </c>
      <c r="N106" s="2" t="str">
        <f>IF('P5-S4'!M20="","",'P5-S4'!M20)</f>
        <v/>
      </c>
      <c r="O106" s="6" t="str">
        <f>IF('P5-S4'!N20="","",'P5-S4'!N20)</f>
        <v/>
      </c>
    </row>
    <row r="107" spans="1:15" ht="25.5" customHeight="1">
      <c r="A107" s="2">
        <v>105</v>
      </c>
      <c r="B107" s="2" t="s">
        <v>28</v>
      </c>
      <c r="C107" s="6" t="s">
        <v>191</v>
      </c>
      <c r="D107" s="6" t="s">
        <v>196</v>
      </c>
      <c r="E107" s="2" t="s">
        <v>193</v>
      </c>
      <c r="F107" s="2" t="s">
        <v>65</v>
      </c>
      <c r="G107" s="2" t="s">
        <v>59</v>
      </c>
      <c r="H107" s="2" t="str">
        <f>IF('P5-S4'!G21="","",'P5-S4'!G21)</f>
        <v>Not Started</v>
      </c>
      <c r="I107" s="2" t="str">
        <f>IF('P5-S4'!H21="","",'P5-S4'!H21)</f>
        <v>Not Started</v>
      </c>
      <c r="J107" s="2" t="str">
        <f>IF('P5-S4'!I21="","",'P5-S4'!I21)</f>
        <v>Not Started</v>
      </c>
      <c r="K107" s="2" t="str">
        <f>IF('P5-S4'!J21="","",'P5-S4'!J21)</f>
        <v>Not Deployed</v>
      </c>
      <c r="L107" s="2" t="str">
        <f>IF('P5-S4'!K21="","",'P5-S4'!K21)</f>
        <v>Not Deployed</v>
      </c>
      <c r="M107" s="7" t="str">
        <f>IF('P5-S4'!L21="","",'P5-S4'!L21)</f>
        <v/>
      </c>
      <c r="N107" s="2" t="str">
        <f>IF('P5-S4'!M21="","",'P5-S4'!M21)</f>
        <v/>
      </c>
      <c r="O107" s="6" t="str">
        <f>IF('P5-S4'!N21="","",'P5-S4'!N21)</f>
        <v/>
      </c>
    </row>
    <row r="108" spans="1:15" ht="25.5" customHeight="1">
      <c r="A108" s="2">
        <v>106</v>
      </c>
      <c r="B108" s="2" t="s">
        <v>28</v>
      </c>
      <c r="C108" s="6" t="s">
        <v>191</v>
      </c>
      <c r="D108" s="6" t="s">
        <v>197</v>
      </c>
      <c r="E108" s="2" t="s">
        <v>193</v>
      </c>
      <c r="F108" s="2" t="s">
        <v>58</v>
      </c>
      <c r="G108" s="2" t="s">
        <v>59</v>
      </c>
      <c r="H108" s="2" t="str">
        <f>IF('P5-S4'!G22="","",'P5-S4'!G22)</f>
        <v>Not Started</v>
      </c>
      <c r="I108" s="2" t="str">
        <f>IF('P5-S4'!H22="","",'P5-S4'!H22)</f>
        <v>Not Started</v>
      </c>
      <c r="J108" s="2" t="str">
        <f>IF('P5-S4'!I22="","",'P5-S4'!I22)</f>
        <v>Not Started</v>
      </c>
      <c r="K108" s="2" t="str">
        <f>IF('P5-S4'!J22="","",'P5-S4'!J22)</f>
        <v>Not Deployed</v>
      </c>
      <c r="L108" s="2" t="str">
        <f>IF('P5-S4'!K22="","",'P5-S4'!K22)</f>
        <v>Not Deployed</v>
      </c>
      <c r="M108" s="7" t="str">
        <f>IF('P5-S4'!L22="","",'P5-S4'!L22)</f>
        <v/>
      </c>
      <c r="N108" s="2" t="str">
        <f>IF('P5-S4'!M22="","",'P5-S4'!M22)</f>
        <v/>
      </c>
      <c r="O108" s="6" t="str">
        <f>IF('P5-S4'!N22="","",'P5-S4'!N22)</f>
        <v/>
      </c>
    </row>
    <row r="109" spans="1:15" ht="25.5" customHeight="1">
      <c r="A109" s="2">
        <v>107</v>
      </c>
      <c r="B109" s="2" t="s">
        <v>28</v>
      </c>
      <c r="C109" s="6" t="s">
        <v>191</v>
      </c>
      <c r="D109" s="6" t="s">
        <v>198</v>
      </c>
      <c r="E109" s="2" t="s">
        <v>193</v>
      </c>
      <c r="F109" s="2" t="s">
        <v>58</v>
      </c>
      <c r="G109" s="2" t="s">
        <v>59</v>
      </c>
      <c r="H109" s="2" t="str">
        <f>IF('P5-S4'!G23="","",'P5-S4'!G23)</f>
        <v>Not Started</v>
      </c>
      <c r="I109" s="2" t="str">
        <f>IF('P5-S4'!H23="","",'P5-S4'!H23)</f>
        <v>Not Started</v>
      </c>
      <c r="J109" s="2" t="str">
        <f>IF('P5-S4'!I23="","",'P5-S4'!I23)</f>
        <v>Not Started</v>
      </c>
      <c r="K109" s="2" t="str">
        <f>IF('P5-S4'!J23="","",'P5-S4'!J23)</f>
        <v>Not Deployed</v>
      </c>
      <c r="L109" s="2" t="str">
        <f>IF('P5-S4'!K23="","",'P5-S4'!K23)</f>
        <v>Not Deployed</v>
      </c>
      <c r="M109" s="7" t="str">
        <f>IF('P5-S4'!L23="","",'P5-S4'!L23)</f>
        <v/>
      </c>
      <c r="N109" s="2" t="str">
        <f>IF('P5-S4'!M23="","",'P5-S4'!M23)</f>
        <v/>
      </c>
      <c r="O109" s="6" t="str">
        <f>IF('P5-S4'!N23="","",'P5-S4'!N23)</f>
        <v/>
      </c>
    </row>
    <row r="110" spans="1:15" ht="25.5" customHeight="1">
      <c r="A110" s="2">
        <v>108</v>
      </c>
      <c r="B110" s="2" t="s">
        <v>28</v>
      </c>
      <c r="C110" s="6" t="s">
        <v>191</v>
      </c>
      <c r="D110" s="6" t="s">
        <v>199</v>
      </c>
      <c r="E110" s="2" t="s">
        <v>193</v>
      </c>
      <c r="F110" s="2" t="s">
        <v>65</v>
      </c>
      <c r="G110" s="2" t="s">
        <v>59</v>
      </c>
      <c r="H110" s="2" t="str">
        <f>IF('P5-S4'!G24="","",'P5-S4'!G24)</f>
        <v>Not Started</v>
      </c>
      <c r="I110" s="2" t="str">
        <f>IF('P5-S4'!H24="","",'P5-S4'!H24)</f>
        <v>Not Started</v>
      </c>
      <c r="J110" s="2" t="str">
        <f>IF('P5-S4'!I24="","",'P5-S4'!I24)</f>
        <v>Not Started</v>
      </c>
      <c r="K110" s="2" t="str">
        <f>IF('P5-S4'!J24="","",'P5-S4'!J24)</f>
        <v>Not Deployed</v>
      </c>
      <c r="L110" s="2" t="str">
        <f>IF('P5-S4'!K24="","",'P5-S4'!K24)</f>
        <v>Not Deployed</v>
      </c>
      <c r="M110" s="7" t="str">
        <f>IF('P5-S4'!L24="","",'P5-S4'!L24)</f>
        <v/>
      </c>
      <c r="N110" s="2" t="str">
        <f>IF('P5-S4'!M24="","",'P5-S4'!M24)</f>
        <v/>
      </c>
      <c r="O110" s="6" t="str">
        <f>IF('P5-S4'!N24="","",'P5-S4'!N24)</f>
        <v/>
      </c>
    </row>
    <row r="111" spans="1:15" ht="25.5" customHeight="1">
      <c r="A111" s="2">
        <v>109</v>
      </c>
      <c r="B111" s="2" t="s">
        <v>28</v>
      </c>
      <c r="C111" s="6" t="s">
        <v>200</v>
      </c>
      <c r="D111" s="6" t="s">
        <v>201</v>
      </c>
      <c r="E111" s="2" t="s">
        <v>202</v>
      </c>
      <c r="F111" s="2" t="s">
        <v>58</v>
      </c>
      <c r="G111" s="2" t="s">
        <v>59</v>
      </c>
      <c r="H111" s="2" t="str">
        <f>IF('P5-S4'!G25="","",'P5-S4'!G25)</f>
        <v>Not Started</v>
      </c>
      <c r="I111" s="2" t="str">
        <f>IF('P5-S4'!H25="","",'P5-S4'!H25)</f>
        <v>Not Started</v>
      </c>
      <c r="J111" s="2" t="str">
        <f>IF('P5-S4'!I25="","",'P5-S4'!I25)</f>
        <v>Not Started</v>
      </c>
      <c r="K111" s="2" t="str">
        <f>IF('P5-S4'!J25="","",'P5-S4'!J25)</f>
        <v>Not Deployed</v>
      </c>
      <c r="L111" s="2" t="str">
        <f>IF('P5-S4'!K25="","",'P5-S4'!K25)</f>
        <v>Not Deployed</v>
      </c>
      <c r="M111" s="7" t="str">
        <f>IF('P5-S4'!L25="","",'P5-S4'!L25)</f>
        <v/>
      </c>
      <c r="N111" s="2" t="str">
        <f>IF('P5-S4'!M25="","",'P5-S4'!M25)</f>
        <v/>
      </c>
      <c r="O111" s="6" t="str">
        <f>IF('P5-S4'!N25="","",'P5-S4'!N25)</f>
        <v/>
      </c>
    </row>
    <row r="112" spans="1:15" ht="25.5" customHeight="1">
      <c r="A112" s="2">
        <v>110</v>
      </c>
      <c r="B112" s="2" t="s">
        <v>28</v>
      </c>
      <c r="C112" s="6" t="s">
        <v>200</v>
      </c>
      <c r="D112" s="6" t="s">
        <v>203</v>
      </c>
      <c r="E112" s="2" t="s">
        <v>202</v>
      </c>
      <c r="F112" s="2" t="s">
        <v>77</v>
      </c>
      <c r="G112" s="2" t="s">
        <v>59</v>
      </c>
      <c r="H112" s="2" t="str">
        <f>IF('P5-S4'!G26="","",'P5-S4'!G26)</f>
        <v>Not Started</v>
      </c>
      <c r="I112" s="2" t="str">
        <f>IF('P5-S4'!H26="","",'P5-S4'!H26)</f>
        <v>Not Started</v>
      </c>
      <c r="J112" s="2" t="str">
        <f>IF('P5-S4'!I26="","",'P5-S4'!I26)</f>
        <v>Not Started</v>
      </c>
      <c r="K112" s="2" t="str">
        <f>IF('P5-S4'!J26="","",'P5-S4'!J26)</f>
        <v>Not Deployed</v>
      </c>
      <c r="L112" s="2" t="str">
        <f>IF('P5-S4'!K26="","",'P5-S4'!K26)</f>
        <v>Not Deployed</v>
      </c>
      <c r="M112" s="7" t="str">
        <f>IF('P5-S4'!L26="","",'P5-S4'!L26)</f>
        <v/>
      </c>
      <c r="N112" s="2" t="str">
        <f>IF('P5-S4'!M26="","",'P5-S4'!M26)</f>
        <v/>
      </c>
      <c r="O112" s="6" t="str">
        <f>IF('P5-S4'!N26="","",'P5-S4'!N26)</f>
        <v/>
      </c>
    </row>
    <row r="113" spans="1:15" ht="25.5" customHeight="1">
      <c r="A113" s="2">
        <v>111</v>
      </c>
      <c r="B113" s="2" t="s">
        <v>28</v>
      </c>
      <c r="C113" s="6" t="s">
        <v>200</v>
      </c>
      <c r="D113" s="6" t="s">
        <v>204</v>
      </c>
      <c r="E113" s="2" t="s">
        <v>202</v>
      </c>
      <c r="F113" s="2" t="s">
        <v>58</v>
      </c>
      <c r="G113" s="2" t="s">
        <v>59</v>
      </c>
      <c r="H113" s="2" t="str">
        <f>IF('P5-S4'!G27="","",'P5-S4'!G27)</f>
        <v>Not Started</v>
      </c>
      <c r="I113" s="2" t="str">
        <f>IF('P5-S4'!H27="","",'P5-S4'!H27)</f>
        <v>Not Started</v>
      </c>
      <c r="J113" s="2" t="str">
        <f>IF('P5-S4'!I27="","",'P5-S4'!I27)</f>
        <v>Not Started</v>
      </c>
      <c r="K113" s="2" t="str">
        <f>IF('P5-S4'!J27="","",'P5-S4'!J27)</f>
        <v>Not Deployed</v>
      </c>
      <c r="L113" s="2" t="str">
        <f>IF('P5-S4'!K27="","",'P5-S4'!K27)</f>
        <v>Not Deployed</v>
      </c>
      <c r="M113" s="7" t="str">
        <f>IF('P5-S4'!L27="","",'P5-S4'!L27)</f>
        <v/>
      </c>
      <c r="N113" s="2" t="str">
        <f>IF('P5-S4'!M27="","",'P5-S4'!M27)</f>
        <v/>
      </c>
      <c r="O113" s="6" t="str">
        <f>IF('P5-S4'!N27="","",'P5-S4'!N27)</f>
        <v/>
      </c>
    </row>
    <row r="114" spans="1:15" ht="25.5" customHeight="1">
      <c r="A114" s="2">
        <v>112</v>
      </c>
      <c r="B114" s="2" t="s">
        <v>28</v>
      </c>
      <c r="C114" s="6" t="s">
        <v>200</v>
      </c>
      <c r="D114" s="6" t="s">
        <v>205</v>
      </c>
      <c r="E114" s="2" t="s">
        <v>202</v>
      </c>
      <c r="F114" s="2" t="s">
        <v>58</v>
      </c>
      <c r="G114" s="2" t="s">
        <v>68</v>
      </c>
      <c r="H114" s="2" t="str">
        <f>IF('P5-S4'!G28="","",'P5-S4'!G28)</f>
        <v>Not Started</v>
      </c>
      <c r="I114" s="2" t="str">
        <f>IF('P5-S4'!H28="","",'P5-S4'!H28)</f>
        <v>Not Started</v>
      </c>
      <c r="J114" s="2" t="str">
        <f>IF('P5-S4'!I28="","",'P5-S4'!I28)</f>
        <v>Not Started</v>
      </c>
      <c r="K114" s="2" t="str">
        <f>IF('P5-S4'!J28="","",'P5-S4'!J28)</f>
        <v>Not Deployed</v>
      </c>
      <c r="L114" s="2" t="str">
        <f>IF('P5-S4'!K28="","",'P5-S4'!K28)</f>
        <v>Not Deployed</v>
      </c>
      <c r="M114" s="7" t="str">
        <f>IF('P5-S4'!L28="","",'P5-S4'!L28)</f>
        <v/>
      </c>
      <c r="N114" s="2" t="str">
        <f>IF('P5-S4'!M28="","",'P5-S4'!M28)</f>
        <v/>
      </c>
      <c r="O114" s="6" t="str">
        <f>IF('P5-S4'!N28="","",'P5-S4'!N28)</f>
        <v/>
      </c>
    </row>
    <row r="115" spans="1:15" ht="25.5" customHeight="1">
      <c r="A115" s="2">
        <v>113</v>
      </c>
      <c r="B115" s="2" t="s">
        <v>28</v>
      </c>
      <c r="C115" s="6" t="s">
        <v>200</v>
      </c>
      <c r="D115" s="6" t="s">
        <v>206</v>
      </c>
      <c r="E115" s="2" t="s">
        <v>202</v>
      </c>
      <c r="F115" s="2" t="s">
        <v>58</v>
      </c>
      <c r="G115" s="2" t="s">
        <v>59</v>
      </c>
      <c r="H115" s="2" t="str">
        <f>IF('P5-S4'!G29="","",'P5-S4'!G29)</f>
        <v>Not Started</v>
      </c>
      <c r="I115" s="2" t="str">
        <f>IF('P5-S4'!H29="","",'P5-S4'!H29)</f>
        <v>Not Started</v>
      </c>
      <c r="J115" s="2" t="str">
        <f>IF('P5-S4'!I29="","",'P5-S4'!I29)</f>
        <v>Not Started</v>
      </c>
      <c r="K115" s="2" t="str">
        <f>IF('P5-S4'!J29="","",'P5-S4'!J29)</f>
        <v>Not Deployed</v>
      </c>
      <c r="L115" s="2" t="str">
        <f>IF('P5-S4'!K29="","",'P5-S4'!K29)</f>
        <v>Not Deployed</v>
      </c>
      <c r="M115" s="7" t="str">
        <f>IF('P5-S4'!L29="","",'P5-S4'!L29)</f>
        <v/>
      </c>
      <c r="N115" s="2" t="str">
        <f>IF('P5-S4'!M29="","",'P5-S4'!M29)</f>
        <v/>
      </c>
      <c r="O115" s="6" t="str">
        <f>IF('P5-S4'!N29="","",'P5-S4'!N29)</f>
        <v/>
      </c>
    </row>
    <row r="116" spans="1:15" ht="25.5" customHeight="1">
      <c r="A116" s="2">
        <v>114</v>
      </c>
      <c r="B116" s="2" t="s">
        <v>28</v>
      </c>
      <c r="C116" s="6" t="s">
        <v>207</v>
      </c>
      <c r="D116" s="6" t="s">
        <v>208</v>
      </c>
      <c r="E116" s="2" t="s">
        <v>209</v>
      </c>
      <c r="F116" s="2" t="s">
        <v>65</v>
      </c>
      <c r="G116" s="2" t="s">
        <v>59</v>
      </c>
      <c r="H116" s="2" t="str">
        <f>IF('P5-S4'!G30="","",'P5-S4'!G30)</f>
        <v>Not Started</v>
      </c>
      <c r="I116" s="2" t="str">
        <f>IF('P5-S4'!H30="","",'P5-S4'!H30)</f>
        <v>Not Started</v>
      </c>
      <c r="J116" s="2" t="str">
        <f>IF('P5-S4'!I30="","",'P5-S4'!I30)</f>
        <v>Not Started</v>
      </c>
      <c r="K116" s="2" t="str">
        <f>IF('P5-S4'!J30="","",'P5-S4'!J30)</f>
        <v>Not Deployed</v>
      </c>
      <c r="L116" s="2" t="str">
        <f>IF('P5-S4'!K30="","",'P5-S4'!K30)</f>
        <v>Not Deployed</v>
      </c>
      <c r="M116" s="7" t="str">
        <f>IF('P5-S4'!L30="","",'P5-S4'!L30)</f>
        <v/>
      </c>
      <c r="N116" s="2" t="str">
        <f>IF('P5-S4'!M30="","",'P5-S4'!M30)</f>
        <v/>
      </c>
      <c r="O116" s="6" t="str">
        <f>IF('P5-S4'!N30="","",'P5-S4'!N30)</f>
        <v/>
      </c>
    </row>
    <row r="117" spans="1:15" ht="25.5" customHeight="1">
      <c r="A117" s="2">
        <v>115</v>
      </c>
      <c r="B117" s="2" t="s">
        <v>28</v>
      </c>
      <c r="C117" s="6" t="s">
        <v>207</v>
      </c>
      <c r="D117" s="6" t="s">
        <v>210</v>
      </c>
      <c r="E117" s="2" t="s">
        <v>209</v>
      </c>
      <c r="F117" s="2" t="s">
        <v>65</v>
      </c>
      <c r="G117" s="2" t="s">
        <v>59</v>
      </c>
      <c r="H117" s="2" t="str">
        <f>IF('P5-S4'!G31="","",'P5-S4'!G31)</f>
        <v>Not Started</v>
      </c>
      <c r="I117" s="2" t="str">
        <f>IF('P5-S4'!H31="","",'P5-S4'!H31)</f>
        <v>Not Started</v>
      </c>
      <c r="J117" s="2" t="str">
        <f>IF('P5-S4'!I31="","",'P5-S4'!I31)</f>
        <v>Not Started</v>
      </c>
      <c r="K117" s="2" t="str">
        <f>IF('P5-S4'!J31="","",'P5-S4'!J31)</f>
        <v>Not Deployed</v>
      </c>
      <c r="L117" s="2" t="str">
        <f>IF('P5-S4'!K31="","",'P5-S4'!K31)</f>
        <v>Not Deployed</v>
      </c>
      <c r="M117" s="7" t="str">
        <f>IF('P5-S4'!L31="","",'P5-S4'!L31)</f>
        <v/>
      </c>
      <c r="N117" s="2" t="str">
        <f>IF('P5-S4'!M31="","",'P5-S4'!M31)</f>
        <v/>
      </c>
      <c r="O117" s="6" t="str">
        <f>IF('P5-S4'!N31="","",'P5-S4'!N31)</f>
        <v/>
      </c>
    </row>
    <row r="118" spans="1:15" ht="25.5" customHeight="1">
      <c r="A118" s="2">
        <v>116</v>
      </c>
      <c r="B118" s="2" t="s">
        <v>28</v>
      </c>
      <c r="C118" s="6" t="s">
        <v>207</v>
      </c>
      <c r="D118" s="6" t="s">
        <v>211</v>
      </c>
      <c r="E118" s="2" t="s">
        <v>209</v>
      </c>
      <c r="F118" s="2" t="s">
        <v>65</v>
      </c>
      <c r="G118" s="2" t="s">
        <v>59</v>
      </c>
      <c r="H118" s="2" t="str">
        <f>IF('P5-S4'!G32="","",'P5-S4'!G32)</f>
        <v>Not Started</v>
      </c>
      <c r="I118" s="2" t="str">
        <f>IF('P5-S4'!H32="","",'P5-S4'!H32)</f>
        <v>Not Started</v>
      </c>
      <c r="J118" s="2" t="str">
        <f>IF('P5-S4'!I32="","",'P5-S4'!I32)</f>
        <v>Not Started</v>
      </c>
      <c r="K118" s="2" t="str">
        <f>IF('P5-S4'!J32="","",'P5-S4'!J32)</f>
        <v>Not Deployed</v>
      </c>
      <c r="L118" s="2" t="str">
        <f>IF('P5-S4'!K32="","",'P5-S4'!K32)</f>
        <v>Not Deployed</v>
      </c>
      <c r="M118" s="7" t="str">
        <f>IF('P5-S4'!L32="","",'P5-S4'!L32)</f>
        <v/>
      </c>
      <c r="N118" s="2" t="str">
        <f>IF('P5-S4'!M32="","",'P5-S4'!M32)</f>
        <v/>
      </c>
      <c r="O118" s="6" t="str">
        <f>IF('P5-S4'!N32="","",'P5-S4'!N32)</f>
        <v/>
      </c>
    </row>
    <row r="119" spans="1:15" ht="25.5" customHeight="1">
      <c r="A119" s="2">
        <v>117</v>
      </c>
      <c r="B119" s="2" t="s">
        <v>28</v>
      </c>
      <c r="C119" s="6" t="s">
        <v>207</v>
      </c>
      <c r="D119" s="6" t="s">
        <v>212</v>
      </c>
      <c r="E119" s="2" t="s">
        <v>209</v>
      </c>
      <c r="F119" s="2" t="s">
        <v>58</v>
      </c>
      <c r="G119" s="2" t="s">
        <v>59</v>
      </c>
      <c r="H119" s="2" t="str">
        <f>IF('P5-S4'!G33="","",'P5-S4'!G33)</f>
        <v>Not Started</v>
      </c>
      <c r="I119" s="2" t="str">
        <f>IF('P5-S4'!H33="","",'P5-S4'!H33)</f>
        <v>Not Started</v>
      </c>
      <c r="J119" s="2" t="str">
        <f>IF('P5-S4'!I33="","",'P5-S4'!I33)</f>
        <v>Not Started</v>
      </c>
      <c r="K119" s="2" t="str">
        <f>IF('P5-S4'!J33="","",'P5-S4'!J33)</f>
        <v>Not Deployed</v>
      </c>
      <c r="L119" s="2" t="str">
        <f>IF('P5-S4'!K33="","",'P5-S4'!K33)</f>
        <v>Not Deployed</v>
      </c>
      <c r="M119" s="7" t="str">
        <f>IF('P5-S4'!L33="","",'P5-S4'!L33)</f>
        <v/>
      </c>
      <c r="N119" s="2" t="str">
        <f>IF('P5-S4'!M33="","",'P5-S4'!M33)</f>
        <v/>
      </c>
      <c r="O119" s="6" t="str">
        <f>IF('P5-S4'!N33="","",'P5-S4'!N33)</f>
        <v/>
      </c>
    </row>
    <row r="120" spans="1:15" ht="25.5" customHeight="1">
      <c r="A120" s="2">
        <v>118</v>
      </c>
      <c r="B120" s="2" t="s">
        <v>28</v>
      </c>
      <c r="C120" s="6" t="s">
        <v>207</v>
      </c>
      <c r="D120" s="6" t="s">
        <v>213</v>
      </c>
      <c r="E120" s="2" t="s">
        <v>209</v>
      </c>
      <c r="F120" s="2" t="s">
        <v>65</v>
      </c>
      <c r="G120" s="2" t="s">
        <v>59</v>
      </c>
      <c r="H120" s="2" t="str">
        <f>IF('P5-S4'!G34="","",'P5-S4'!G34)</f>
        <v>Not Started</v>
      </c>
      <c r="I120" s="2" t="str">
        <f>IF('P5-S4'!H34="","",'P5-S4'!H34)</f>
        <v>Not Started</v>
      </c>
      <c r="J120" s="2" t="str">
        <f>IF('P5-S4'!I34="","",'P5-S4'!I34)</f>
        <v>Not Started</v>
      </c>
      <c r="K120" s="2" t="str">
        <f>IF('P5-S4'!J34="","",'P5-S4'!J34)</f>
        <v>Not Deployed</v>
      </c>
      <c r="L120" s="2" t="str">
        <f>IF('P5-S4'!K34="","",'P5-S4'!K34)</f>
        <v>Not Deployed</v>
      </c>
      <c r="M120" s="7" t="str">
        <f>IF('P5-S4'!L34="","",'P5-S4'!L34)</f>
        <v/>
      </c>
      <c r="N120" s="2" t="str">
        <f>IF('P5-S4'!M34="","",'P5-S4'!M34)</f>
        <v/>
      </c>
      <c r="O120" s="6" t="str">
        <f>IF('P5-S4'!N34="","",'P5-S4'!N34)</f>
        <v/>
      </c>
    </row>
    <row r="121" spans="1:15" ht="25.5" customHeight="1">
      <c r="A121" s="2">
        <v>119</v>
      </c>
      <c r="B121" s="2" t="s">
        <v>28</v>
      </c>
      <c r="C121" s="6" t="s">
        <v>207</v>
      </c>
      <c r="D121" s="6" t="s">
        <v>214</v>
      </c>
      <c r="E121" s="2" t="s">
        <v>209</v>
      </c>
      <c r="F121" s="2" t="s">
        <v>65</v>
      </c>
      <c r="G121" s="2" t="s">
        <v>59</v>
      </c>
      <c r="H121" s="2" t="str">
        <f>IF('P5-S4'!G35="","",'P5-S4'!G35)</f>
        <v>Not Started</v>
      </c>
      <c r="I121" s="2" t="str">
        <f>IF('P5-S4'!H35="","",'P5-S4'!H35)</f>
        <v>Not Started</v>
      </c>
      <c r="J121" s="2" t="str">
        <f>IF('P5-S4'!I35="","",'P5-S4'!I35)</f>
        <v>Not Started</v>
      </c>
      <c r="K121" s="2" t="str">
        <f>IF('P5-S4'!J35="","",'P5-S4'!J35)</f>
        <v>Not Deployed</v>
      </c>
      <c r="L121" s="2" t="str">
        <f>IF('P5-S4'!K35="","",'P5-S4'!K35)</f>
        <v>Not Deployed</v>
      </c>
      <c r="M121" s="7" t="str">
        <f>IF('P5-S4'!L35="","",'P5-S4'!L35)</f>
        <v/>
      </c>
      <c r="N121" s="2" t="str">
        <f>IF('P5-S4'!M35="","",'P5-S4'!M35)</f>
        <v/>
      </c>
      <c r="O121" s="6" t="str">
        <f>IF('P5-S4'!N35="","",'P5-S4'!N35)</f>
        <v/>
      </c>
    </row>
    <row r="122" spans="1:15" ht="25.5" customHeight="1">
      <c r="A122" s="2">
        <v>120</v>
      </c>
      <c r="B122" s="2" t="s">
        <v>28</v>
      </c>
      <c r="C122" s="6" t="s">
        <v>207</v>
      </c>
      <c r="D122" s="6" t="s">
        <v>215</v>
      </c>
      <c r="E122" s="2" t="s">
        <v>209</v>
      </c>
      <c r="F122" s="2" t="s">
        <v>65</v>
      </c>
      <c r="G122" s="2" t="s">
        <v>68</v>
      </c>
      <c r="H122" s="2" t="str">
        <f>IF('P5-S4'!G36="","",'P5-S4'!G36)</f>
        <v>Not Started</v>
      </c>
      <c r="I122" s="2" t="str">
        <f>IF('P5-S4'!H36="","",'P5-S4'!H36)</f>
        <v>Not Started</v>
      </c>
      <c r="J122" s="2" t="str">
        <f>IF('P5-S4'!I36="","",'P5-S4'!I36)</f>
        <v>Not Started</v>
      </c>
      <c r="K122" s="2" t="str">
        <f>IF('P5-S4'!J36="","",'P5-S4'!J36)</f>
        <v>Not Deployed</v>
      </c>
      <c r="L122" s="2" t="str">
        <f>IF('P5-S4'!K36="","",'P5-S4'!K36)</f>
        <v>Not Deployed</v>
      </c>
      <c r="M122" s="7" t="str">
        <f>IF('P5-S4'!L36="","",'P5-S4'!L36)</f>
        <v/>
      </c>
      <c r="N122" s="2" t="str">
        <f>IF('P5-S4'!M36="","",'P5-S4'!M36)</f>
        <v/>
      </c>
      <c r="O122" s="6" t="str">
        <f>IF('P5-S4'!N36="","",'P5-S4'!N36)</f>
        <v/>
      </c>
    </row>
    <row r="123" spans="1:15" ht="25.5" customHeight="1">
      <c r="A123" s="2">
        <v>121</v>
      </c>
      <c r="B123" s="2" t="s">
        <v>31</v>
      </c>
      <c r="C123" s="6" t="s">
        <v>216</v>
      </c>
      <c r="D123" s="6" t="s">
        <v>217</v>
      </c>
      <c r="E123" s="2" t="s">
        <v>218</v>
      </c>
      <c r="F123" s="2" t="s">
        <v>58</v>
      </c>
      <c r="G123" s="2" t="s">
        <v>59</v>
      </c>
      <c r="H123" s="2" t="str">
        <f>IF('P5-S5'!G3="","",'P5-S5'!G3)</f>
        <v>Not Started</v>
      </c>
      <c r="I123" s="2" t="str">
        <f>IF('P5-S5'!H3="","",'P5-S5'!H3)</f>
        <v>Not Started</v>
      </c>
      <c r="J123" s="2" t="str">
        <f>IF('P5-S5'!I3="","",'P5-S5'!I3)</f>
        <v>Not Started</v>
      </c>
      <c r="K123" s="2" t="str">
        <f>IF('P5-S5'!J3="","",'P5-S5'!J3)</f>
        <v>Not Deployed</v>
      </c>
      <c r="L123" s="2" t="str">
        <f>IF('P5-S5'!K3="","",'P5-S5'!K3)</f>
        <v>Not Deployed</v>
      </c>
      <c r="M123" s="7" t="str">
        <f>IF('P5-S5'!L3="","",'P5-S5'!L3)</f>
        <v/>
      </c>
      <c r="N123" s="2" t="str">
        <f>IF('P5-S5'!M3="","",'P5-S5'!M3)</f>
        <v/>
      </c>
      <c r="O123" s="6" t="str">
        <f>IF('P5-S5'!N3="","",'P5-S5'!N3)</f>
        <v/>
      </c>
    </row>
    <row r="124" spans="1:15" ht="25.5" customHeight="1">
      <c r="A124" s="2">
        <v>122</v>
      </c>
      <c r="B124" s="2" t="s">
        <v>31</v>
      </c>
      <c r="C124" s="6" t="s">
        <v>216</v>
      </c>
      <c r="D124" s="6" t="s">
        <v>219</v>
      </c>
      <c r="E124" s="2" t="s">
        <v>218</v>
      </c>
      <c r="F124" s="2" t="s">
        <v>58</v>
      </c>
      <c r="G124" s="2" t="s">
        <v>59</v>
      </c>
      <c r="H124" s="2" t="str">
        <f>IF('P5-S5'!G4="","",'P5-S5'!G4)</f>
        <v>Not Started</v>
      </c>
      <c r="I124" s="2" t="str">
        <f>IF('P5-S5'!H4="","",'P5-S5'!H4)</f>
        <v>Not Started</v>
      </c>
      <c r="J124" s="2" t="str">
        <f>IF('P5-S5'!I4="","",'P5-S5'!I4)</f>
        <v>Not Started</v>
      </c>
      <c r="K124" s="2" t="str">
        <f>IF('P5-S5'!J4="","",'P5-S5'!J4)</f>
        <v>Not Deployed</v>
      </c>
      <c r="L124" s="2" t="str">
        <f>IF('P5-S5'!K4="","",'P5-S5'!K4)</f>
        <v>Not Deployed</v>
      </c>
      <c r="M124" s="7" t="str">
        <f>IF('P5-S5'!L4="","",'P5-S5'!L4)</f>
        <v/>
      </c>
      <c r="N124" s="2" t="str">
        <f>IF('P5-S5'!M4="","",'P5-S5'!M4)</f>
        <v/>
      </c>
      <c r="O124" s="6" t="str">
        <f>IF('P5-S5'!N4="","",'P5-S5'!N4)</f>
        <v/>
      </c>
    </row>
    <row r="125" spans="1:15" ht="25.5" customHeight="1">
      <c r="A125" s="2">
        <v>123</v>
      </c>
      <c r="B125" s="2" t="s">
        <v>31</v>
      </c>
      <c r="C125" s="6" t="s">
        <v>216</v>
      </c>
      <c r="D125" s="6" t="s">
        <v>220</v>
      </c>
      <c r="E125" s="2" t="s">
        <v>218</v>
      </c>
      <c r="F125" s="2" t="s">
        <v>58</v>
      </c>
      <c r="G125" s="2" t="s">
        <v>59</v>
      </c>
      <c r="H125" s="2" t="str">
        <f>IF('P5-S5'!G5="","",'P5-S5'!G5)</f>
        <v>Not Started</v>
      </c>
      <c r="I125" s="2" t="str">
        <f>IF('P5-S5'!H5="","",'P5-S5'!H5)</f>
        <v>Not Started</v>
      </c>
      <c r="J125" s="2" t="str">
        <f>IF('P5-S5'!I5="","",'P5-S5'!I5)</f>
        <v>Not Started</v>
      </c>
      <c r="K125" s="2" t="str">
        <f>IF('P5-S5'!J5="","",'P5-S5'!J5)</f>
        <v>Not Deployed</v>
      </c>
      <c r="L125" s="2" t="str">
        <f>IF('P5-S5'!K5="","",'P5-S5'!K5)</f>
        <v>Not Deployed</v>
      </c>
      <c r="M125" s="7" t="str">
        <f>IF('P5-S5'!L5="","",'P5-S5'!L5)</f>
        <v/>
      </c>
      <c r="N125" s="2" t="str">
        <f>IF('P5-S5'!M5="","",'P5-S5'!M5)</f>
        <v/>
      </c>
      <c r="O125" s="6" t="str">
        <f>IF('P5-S5'!N5="","",'P5-S5'!N5)</f>
        <v/>
      </c>
    </row>
    <row r="126" spans="1:15" ht="25.5" customHeight="1">
      <c r="A126" s="2">
        <v>124</v>
      </c>
      <c r="B126" s="2" t="s">
        <v>31</v>
      </c>
      <c r="C126" s="6" t="s">
        <v>216</v>
      </c>
      <c r="D126" s="6" t="s">
        <v>221</v>
      </c>
      <c r="E126" s="2" t="s">
        <v>218</v>
      </c>
      <c r="F126" s="2" t="s">
        <v>58</v>
      </c>
      <c r="G126" s="2" t="s">
        <v>59</v>
      </c>
      <c r="H126" s="2" t="str">
        <f>IF('P5-S5'!G6="","",'P5-S5'!G6)</f>
        <v>Not Started</v>
      </c>
      <c r="I126" s="2" t="str">
        <f>IF('P5-S5'!H6="","",'P5-S5'!H6)</f>
        <v>Not Started</v>
      </c>
      <c r="J126" s="2" t="str">
        <f>IF('P5-S5'!I6="","",'P5-S5'!I6)</f>
        <v>Not Started</v>
      </c>
      <c r="K126" s="2" t="str">
        <f>IF('P5-S5'!J6="","",'P5-S5'!J6)</f>
        <v>Not Deployed</v>
      </c>
      <c r="L126" s="2" t="str">
        <f>IF('P5-S5'!K6="","",'P5-S5'!K6)</f>
        <v>Not Deployed</v>
      </c>
      <c r="M126" s="7" t="str">
        <f>IF('P5-S5'!L6="","",'P5-S5'!L6)</f>
        <v/>
      </c>
      <c r="N126" s="2" t="str">
        <f>IF('P5-S5'!M6="","",'P5-S5'!M6)</f>
        <v/>
      </c>
      <c r="O126" s="6" t="str">
        <f>IF('P5-S5'!N6="","",'P5-S5'!N6)</f>
        <v/>
      </c>
    </row>
    <row r="127" spans="1:15" ht="25.5" customHeight="1">
      <c r="A127" s="2">
        <v>125</v>
      </c>
      <c r="B127" s="2" t="s">
        <v>31</v>
      </c>
      <c r="C127" s="6" t="s">
        <v>216</v>
      </c>
      <c r="D127" s="6" t="s">
        <v>222</v>
      </c>
      <c r="E127" s="2" t="s">
        <v>218</v>
      </c>
      <c r="F127" s="2" t="s">
        <v>58</v>
      </c>
      <c r="G127" s="2" t="s">
        <v>59</v>
      </c>
      <c r="H127" s="2" t="str">
        <f>IF('P5-S5'!G7="","",'P5-S5'!G7)</f>
        <v>Not Started</v>
      </c>
      <c r="I127" s="2" t="str">
        <f>IF('P5-S5'!H7="","",'P5-S5'!H7)</f>
        <v>Not Started</v>
      </c>
      <c r="J127" s="2" t="str">
        <f>IF('P5-S5'!I7="","",'P5-S5'!I7)</f>
        <v>Not Started</v>
      </c>
      <c r="K127" s="2" t="str">
        <f>IF('P5-S5'!J7="","",'P5-S5'!J7)</f>
        <v>Not Deployed</v>
      </c>
      <c r="L127" s="2" t="str">
        <f>IF('P5-S5'!K7="","",'P5-S5'!K7)</f>
        <v>Not Deployed</v>
      </c>
      <c r="M127" s="7" t="str">
        <f>IF('P5-S5'!L7="","",'P5-S5'!L7)</f>
        <v/>
      </c>
      <c r="N127" s="2" t="str">
        <f>IF('P5-S5'!M7="","",'P5-S5'!M7)</f>
        <v/>
      </c>
      <c r="O127" s="6" t="str">
        <f>IF('P5-S5'!N7="","",'P5-S5'!N7)</f>
        <v/>
      </c>
    </row>
    <row r="128" spans="1:15" ht="25.5" customHeight="1">
      <c r="A128" s="2">
        <v>126</v>
      </c>
      <c r="B128" s="2" t="s">
        <v>31</v>
      </c>
      <c r="C128" s="6" t="s">
        <v>216</v>
      </c>
      <c r="D128" s="6" t="s">
        <v>223</v>
      </c>
      <c r="E128" s="2" t="s">
        <v>218</v>
      </c>
      <c r="F128" s="2" t="s">
        <v>58</v>
      </c>
      <c r="G128" s="2" t="s">
        <v>59</v>
      </c>
      <c r="H128" s="2" t="str">
        <f>IF('P5-S5'!G8="","",'P5-S5'!G8)</f>
        <v>Not Started</v>
      </c>
      <c r="I128" s="2" t="str">
        <f>IF('P5-S5'!H8="","",'P5-S5'!H8)</f>
        <v>Not Started</v>
      </c>
      <c r="J128" s="2" t="str">
        <f>IF('P5-S5'!I8="","",'P5-S5'!I8)</f>
        <v>Not Started</v>
      </c>
      <c r="K128" s="2" t="str">
        <f>IF('P5-S5'!J8="","",'P5-S5'!J8)</f>
        <v>Not Deployed</v>
      </c>
      <c r="L128" s="2" t="str">
        <f>IF('P5-S5'!K8="","",'P5-S5'!K8)</f>
        <v>Not Deployed</v>
      </c>
      <c r="M128" s="7" t="str">
        <f>IF('P5-S5'!L8="","",'P5-S5'!L8)</f>
        <v/>
      </c>
      <c r="N128" s="2" t="str">
        <f>IF('P5-S5'!M8="","",'P5-S5'!M8)</f>
        <v/>
      </c>
      <c r="O128" s="6" t="str">
        <f>IF('P5-S5'!N8="","",'P5-S5'!N8)</f>
        <v/>
      </c>
    </row>
    <row r="129" spans="1:15" ht="25.5" customHeight="1">
      <c r="A129" s="2">
        <v>127</v>
      </c>
      <c r="B129" s="2" t="s">
        <v>31</v>
      </c>
      <c r="C129" s="6" t="s">
        <v>216</v>
      </c>
      <c r="D129" s="6" t="s">
        <v>224</v>
      </c>
      <c r="E129" s="2" t="s">
        <v>218</v>
      </c>
      <c r="F129" s="2" t="s">
        <v>58</v>
      </c>
      <c r="G129" s="2" t="s">
        <v>59</v>
      </c>
      <c r="H129" s="2" t="str">
        <f>IF('P5-S5'!G9="","",'P5-S5'!G9)</f>
        <v>Not Started</v>
      </c>
      <c r="I129" s="2" t="str">
        <f>IF('P5-S5'!H9="","",'P5-S5'!H9)</f>
        <v>Not Started</v>
      </c>
      <c r="J129" s="2" t="str">
        <f>IF('P5-S5'!I9="","",'P5-S5'!I9)</f>
        <v>Not Started</v>
      </c>
      <c r="K129" s="2" t="str">
        <f>IF('P5-S5'!J9="","",'P5-S5'!J9)</f>
        <v>Not Deployed</v>
      </c>
      <c r="L129" s="2" t="str">
        <f>IF('P5-S5'!K9="","",'P5-S5'!K9)</f>
        <v>Not Deployed</v>
      </c>
      <c r="M129" s="7" t="str">
        <f>IF('P5-S5'!L9="","",'P5-S5'!L9)</f>
        <v/>
      </c>
      <c r="N129" s="2" t="str">
        <f>IF('P5-S5'!M9="","",'P5-S5'!M9)</f>
        <v/>
      </c>
      <c r="O129" s="6" t="str">
        <f>IF('P5-S5'!N9="","",'P5-S5'!N9)</f>
        <v/>
      </c>
    </row>
    <row r="130" spans="1:15" ht="25.5" customHeight="1">
      <c r="A130" s="2">
        <v>128</v>
      </c>
      <c r="B130" s="2" t="s">
        <v>31</v>
      </c>
      <c r="C130" s="6" t="s">
        <v>216</v>
      </c>
      <c r="D130" s="6" t="s">
        <v>225</v>
      </c>
      <c r="E130" s="2" t="s">
        <v>218</v>
      </c>
      <c r="F130" s="2" t="s">
        <v>58</v>
      </c>
      <c r="G130" s="2" t="s">
        <v>59</v>
      </c>
      <c r="H130" s="2" t="str">
        <f>IF('P5-S5'!G10="","",'P5-S5'!G10)</f>
        <v>Not Started</v>
      </c>
      <c r="I130" s="2" t="str">
        <f>IF('P5-S5'!H10="","",'P5-S5'!H10)</f>
        <v>Not Started</v>
      </c>
      <c r="J130" s="2" t="str">
        <f>IF('P5-S5'!I10="","",'P5-S5'!I10)</f>
        <v>Not Started</v>
      </c>
      <c r="K130" s="2" t="str">
        <f>IF('P5-S5'!J10="","",'P5-S5'!J10)</f>
        <v>Not Deployed</v>
      </c>
      <c r="L130" s="2" t="str">
        <f>IF('P5-S5'!K10="","",'P5-S5'!K10)</f>
        <v>Not Deployed</v>
      </c>
      <c r="M130" s="7" t="str">
        <f>IF('P5-S5'!L10="","",'P5-S5'!L10)</f>
        <v/>
      </c>
      <c r="N130" s="2" t="str">
        <f>IF('P5-S5'!M10="","",'P5-S5'!M10)</f>
        <v/>
      </c>
      <c r="O130" s="6" t="str">
        <f>IF('P5-S5'!N10="","",'P5-S5'!N10)</f>
        <v/>
      </c>
    </row>
    <row r="131" spans="1:15" ht="25.5" customHeight="1">
      <c r="A131" s="2">
        <v>129</v>
      </c>
      <c r="B131" s="2" t="s">
        <v>31</v>
      </c>
      <c r="C131" s="6" t="s">
        <v>216</v>
      </c>
      <c r="D131" s="6" t="s">
        <v>226</v>
      </c>
      <c r="E131" s="2" t="s">
        <v>218</v>
      </c>
      <c r="F131" s="2" t="s">
        <v>58</v>
      </c>
      <c r="G131" s="2" t="s">
        <v>59</v>
      </c>
      <c r="H131" s="2" t="str">
        <f>IF('P5-S5'!G11="","",'P5-S5'!G11)</f>
        <v>Not Started</v>
      </c>
      <c r="I131" s="2" t="str">
        <f>IF('P5-S5'!H11="","",'P5-S5'!H11)</f>
        <v>Not Started</v>
      </c>
      <c r="J131" s="2" t="str">
        <f>IF('P5-S5'!I11="","",'P5-S5'!I11)</f>
        <v>Not Started</v>
      </c>
      <c r="K131" s="2" t="str">
        <f>IF('P5-S5'!J11="","",'P5-S5'!J11)</f>
        <v>Not Deployed</v>
      </c>
      <c r="L131" s="2" t="str">
        <f>IF('P5-S5'!K11="","",'P5-S5'!K11)</f>
        <v>Not Deployed</v>
      </c>
      <c r="M131" s="7" t="str">
        <f>IF('P5-S5'!L11="","",'P5-S5'!L11)</f>
        <v/>
      </c>
      <c r="N131" s="2" t="str">
        <f>IF('P5-S5'!M11="","",'P5-S5'!M11)</f>
        <v/>
      </c>
      <c r="O131" s="6" t="str">
        <f>IF('P5-S5'!N11="","",'P5-S5'!N11)</f>
        <v/>
      </c>
    </row>
    <row r="132" spans="1:15" ht="25.5" customHeight="1">
      <c r="A132" s="2">
        <v>130</v>
      </c>
      <c r="B132" s="2" t="s">
        <v>31</v>
      </c>
      <c r="C132" s="6" t="s">
        <v>216</v>
      </c>
      <c r="D132" s="6" t="s">
        <v>227</v>
      </c>
      <c r="E132" s="2" t="s">
        <v>218</v>
      </c>
      <c r="F132" s="2" t="s">
        <v>65</v>
      </c>
      <c r="G132" s="2" t="s">
        <v>59</v>
      </c>
      <c r="H132" s="2" t="str">
        <f>IF('P5-S5'!G12="","",'P5-S5'!G12)</f>
        <v>Not Started</v>
      </c>
      <c r="I132" s="2" t="str">
        <f>IF('P5-S5'!H12="","",'P5-S5'!H12)</f>
        <v>Not Started</v>
      </c>
      <c r="J132" s="2" t="str">
        <f>IF('P5-S5'!I12="","",'P5-S5'!I12)</f>
        <v>Not Started</v>
      </c>
      <c r="K132" s="2" t="str">
        <f>IF('P5-S5'!J12="","",'P5-S5'!J12)</f>
        <v>Not Deployed</v>
      </c>
      <c r="L132" s="2" t="str">
        <f>IF('P5-S5'!K12="","",'P5-S5'!K12)</f>
        <v>Not Deployed</v>
      </c>
      <c r="M132" s="7" t="str">
        <f>IF('P5-S5'!L12="","",'P5-S5'!L12)</f>
        <v/>
      </c>
      <c r="N132" s="2" t="str">
        <f>IF('P5-S5'!M12="","",'P5-S5'!M12)</f>
        <v/>
      </c>
      <c r="O132" s="6" t="str">
        <f>IF('P5-S5'!N12="","",'P5-S5'!N12)</f>
        <v/>
      </c>
    </row>
    <row r="133" spans="1:15" ht="25.5" customHeight="1">
      <c r="A133" s="2">
        <v>131</v>
      </c>
      <c r="B133" s="2" t="s">
        <v>31</v>
      </c>
      <c r="C133" s="6" t="s">
        <v>228</v>
      </c>
      <c r="D133" s="6" t="s">
        <v>229</v>
      </c>
      <c r="E133" s="2" t="s">
        <v>230</v>
      </c>
      <c r="F133" s="2" t="s">
        <v>58</v>
      </c>
      <c r="G133" s="2" t="s">
        <v>59</v>
      </c>
      <c r="H133" s="2" t="str">
        <f>IF('P5-S5'!G13="","",'P5-S5'!G13)</f>
        <v>Not Started</v>
      </c>
      <c r="I133" s="2" t="str">
        <f>IF('P5-S5'!H13="","",'P5-S5'!H13)</f>
        <v>Not Started</v>
      </c>
      <c r="J133" s="2" t="str">
        <f>IF('P5-S5'!I13="","",'P5-S5'!I13)</f>
        <v>Not Started</v>
      </c>
      <c r="K133" s="2" t="str">
        <f>IF('P5-S5'!J13="","",'P5-S5'!J13)</f>
        <v>Not Deployed</v>
      </c>
      <c r="L133" s="2" t="str">
        <f>IF('P5-S5'!K13="","",'P5-S5'!K13)</f>
        <v>Not Deployed</v>
      </c>
      <c r="M133" s="7" t="str">
        <f>IF('P5-S5'!L13="","",'P5-S5'!L13)</f>
        <v/>
      </c>
      <c r="N133" s="2" t="str">
        <f>IF('P5-S5'!M13="","",'P5-S5'!M13)</f>
        <v/>
      </c>
      <c r="O133" s="6" t="str">
        <f>IF('P5-S5'!N13="","",'P5-S5'!N13)</f>
        <v/>
      </c>
    </row>
    <row r="134" spans="1:15" ht="25.5" customHeight="1">
      <c r="A134" s="2">
        <v>132</v>
      </c>
      <c r="B134" s="2" t="s">
        <v>31</v>
      </c>
      <c r="C134" s="6" t="s">
        <v>228</v>
      </c>
      <c r="D134" s="6" t="s">
        <v>231</v>
      </c>
      <c r="E134" s="2" t="s">
        <v>230</v>
      </c>
      <c r="F134" s="2" t="s">
        <v>58</v>
      </c>
      <c r="G134" s="2" t="s">
        <v>59</v>
      </c>
      <c r="H134" s="2" t="str">
        <f>IF('P5-S5'!G14="","",'P5-S5'!G14)</f>
        <v>Not Started</v>
      </c>
      <c r="I134" s="2" t="str">
        <f>IF('P5-S5'!H14="","",'P5-S5'!H14)</f>
        <v>Not Started</v>
      </c>
      <c r="J134" s="2" t="str">
        <f>IF('P5-S5'!I14="","",'P5-S5'!I14)</f>
        <v>Not Started</v>
      </c>
      <c r="K134" s="2" t="str">
        <f>IF('P5-S5'!J14="","",'P5-S5'!J14)</f>
        <v>Not Deployed</v>
      </c>
      <c r="L134" s="2" t="str">
        <f>IF('P5-S5'!K14="","",'P5-S5'!K14)</f>
        <v>Not Deployed</v>
      </c>
      <c r="M134" s="7" t="str">
        <f>IF('P5-S5'!L14="","",'P5-S5'!L14)</f>
        <v/>
      </c>
      <c r="N134" s="2" t="str">
        <f>IF('P5-S5'!M14="","",'P5-S5'!M14)</f>
        <v/>
      </c>
      <c r="O134" s="6" t="str">
        <f>IF('P5-S5'!N14="","",'P5-S5'!N14)</f>
        <v/>
      </c>
    </row>
    <row r="135" spans="1:15" ht="25.5" customHeight="1">
      <c r="A135" s="2">
        <v>133</v>
      </c>
      <c r="B135" s="2" t="s">
        <v>31</v>
      </c>
      <c r="C135" s="6" t="s">
        <v>228</v>
      </c>
      <c r="D135" s="6" t="s">
        <v>232</v>
      </c>
      <c r="E135" s="2" t="s">
        <v>230</v>
      </c>
      <c r="F135" s="2" t="s">
        <v>58</v>
      </c>
      <c r="G135" s="2" t="s">
        <v>68</v>
      </c>
      <c r="H135" s="2" t="str">
        <f>IF('P5-S5'!G15="","",'P5-S5'!G15)</f>
        <v>Not Started</v>
      </c>
      <c r="I135" s="2" t="str">
        <f>IF('P5-S5'!H15="","",'P5-S5'!H15)</f>
        <v>Not Started</v>
      </c>
      <c r="J135" s="2" t="str">
        <f>IF('P5-S5'!I15="","",'P5-S5'!I15)</f>
        <v>Not Started</v>
      </c>
      <c r="K135" s="2" t="str">
        <f>IF('P5-S5'!J15="","",'P5-S5'!J15)</f>
        <v>Not Deployed</v>
      </c>
      <c r="L135" s="2" t="str">
        <f>IF('P5-S5'!K15="","",'P5-S5'!K15)</f>
        <v>Not Deployed</v>
      </c>
      <c r="M135" s="7" t="str">
        <f>IF('P5-S5'!L15="","",'P5-S5'!L15)</f>
        <v/>
      </c>
      <c r="N135" s="2" t="str">
        <f>IF('P5-S5'!M15="","",'P5-S5'!M15)</f>
        <v/>
      </c>
      <c r="O135" s="6" t="str">
        <f>IF('P5-S5'!N15="","",'P5-S5'!N15)</f>
        <v/>
      </c>
    </row>
    <row r="136" spans="1:15" ht="25.5" customHeight="1">
      <c r="A136" s="2">
        <v>134</v>
      </c>
      <c r="B136" s="2" t="s">
        <v>31</v>
      </c>
      <c r="C136" s="6" t="s">
        <v>228</v>
      </c>
      <c r="D136" s="6" t="s">
        <v>233</v>
      </c>
      <c r="E136" s="2" t="s">
        <v>230</v>
      </c>
      <c r="F136" s="2" t="s">
        <v>58</v>
      </c>
      <c r="G136" s="2" t="s">
        <v>59</v>
      </c>
      <c r="H136" s="2" t="str">
        <f>IF('P5-S5'!G16="","",'P5-S5'!G16)</f>
        <v>Not Started</v>
      </c>
      <c r="I136" s="2" t="str">
        <f>IF('P5-S5'!H16="","",'P5-S5'!H16)</f>
        <v>Not Started</v>
      </c>
      <c r="J136" s="2" t="str">
        <f>IF('P5-S5'!I16="","",'P5-S5'!I16)</f>
        <v>Not Started</v>
      </c>
      <c r="K136" s="2" t="str">
        <f>IF('P5-S5'!J16="","",'P5-S5'!J16)</f>
        <v>Not Deployed</v>
      </c>
      <c r="L136" s="2" t="str">
        <f>IF('P5-S5'!K16="","",'P5-S5'!K16)</f>
        <v>Not Deployed</v>
      </c>
      <c r="M136" s="7" t="str">
        <f>IF('P5-S5'!L16="","",'P5-S5'!L16)</f>
        <v/>
      </c>
      <c r="N136" s="2" t="str">
        <f>IF('P5-S5'!M16="","",'P5-S5'!M16)</f>
        <v/>
      </c>
      <c r="O136" s="6" t="str">
        <f>IF('P5-S5'!N16="","",'P5-S5'!N16)</f>
        <v/>
      </c>
    </row>
    <row r="137" spans="1:15" ht="25.5" customHeight="1">
      <c r="A137" s="2">
        <v>135</v>
      </c>
      <c r="B137" s="2" t="s">
        <v>31</v>
      </c>
      <c r="C137" s="6" t="s">
        <v>228</v>
      </c>
      <c r="D137" s="6" t="s">
        <v>234</v>
      </c>
      <c r="E137" s="2" t="s">
        <v>230</v>
      </c>
      <c r="F137" s="2" t="s">
        <v>58</v>
      </c>
      <c r="G137" s="2" t="s">
        <v>68</v>
      </c>
      <c r="H137" s="2" t="str">
        <f>IF('P5-S5'!G17="","",'P5-S5'!G17)</f>
        <v>Not Started</v>
      </c>
      <c r="I137" s="2" t="str">
        <f>IF('P5-S5'!H17="","",'P5-S5'!H17)</f>
        <v>Not Started</v>
      </c>
      <c r="J137" s="2" t="str">
        <f>IF('P5-S5'!I17="","",'P5-S5'!I17)</f>
        <v>Not Started</v>
      </c>
      <c r="K137" s="2" t="str">
        <f>IF('P5-S5'!J17="","",'P5-S5'!J17)</f>
        <v>Not Deployed</v>
      </c>
      <c r="L137" s="2" t="str">
        <f>IF('P5-S5'!K17="","",'P5-S5'!K17)</f>
        <v>Not Deployed</v>
      </c>
      <c r="M137" s="7" t="str">
        <f>IF('P5-S5'!L17="","",'P5-S5'!L17)</f>
        <v/>
      </c>
      <c r="N137" s="2" t="str">
        <f>IF('P5-S5'!M17="","",'P5-S5'!M17)</f>
        <v/>
      </c>
      <c r="O137" s="6" t="str">
        <f>IF('P5-S5'!N17="","",'P5-S5'!N17)</f>
        <v/>
      </c>
    </row>
    <row r="138" spans="1:15" ht="25.5" customHeight="1">
      <c r="A138" s="2">
        <v>136</v>
      </c>
      <c r="B138" s="2" t="s">
        <v>31</v>
      </c>
      <c r="C138" s="6" t="s">
        <v>228</v>
      </c>
      <c r="D138" s="6" t="s">
        <v>235</v>
      </c>
      <c r="E138" s="2" t="s">
        <v>230</v>
      </c>
      <c r="F138" s="2" t="s">
        <v>58</v>
      </c>
      <c r="G138" s="2" t="s">
        <v>68</v>
      </c>
      <c r="H138" s="2" t="str">
        <f>IF('P5-S5'!G18="","",'P5-S5'!G18)</f>
        <v>Not Started</v>
      </c>
      <c r="I138" s="2" t="str">
        <f>IF('P5-S5'!H18="","",'P5-S5'!H18)</f>
        <v>Not Started</v>
      </c>
      <c r="J138" s="2" t="str">
        <f>IF('P5-S5'!I18="","",'P5-S5'!I18)</f>
        <v>Not Started</v>
      </c>
      <c r="K138" s="2" t="str">
        <f>IF('P5-S5'!J18="","",'P5-S5'!J18)</f>
        <v>Not Deployed</v>
      </c>
      <c r="L138" s="2" t="str">
        <f>IF('P5-S5'!K18="","",'P5-S5'!K18)</f>
        <v>Not Deployed</v>
      </c>
      <c r="M138" s="7" t="str">
        <f>IF('P5-S5'!L18="","",'P5-S5'!L18)</f>
        <v/>
      </c>
      <c r="N138" s="2" t="str">
        <f>IF('P5-S5'!M18="","",'P5-S5'!M18)</f>
        <v/>
      </c>
      <c r="O138" s="6" t="str">
        <f>IF('P5-S5'!N18="","",'P5-S5'!N18)</f>
        <v/>
      </c>
    </row>
    <row r="139" spans="1:15" ht="25.5" customHeight="1">
      <c r="A139" s="2">
        <v>137</v>
      </c>
      <c r="B139" s="2" t="s">
        <v>31</v>
      </c>
      <c r="C139" s="6" t="s">
        <v>228</v>
      </c>
      <c r="D139" s="6" t="s">
        <v>236</v>
      </c>
      <c r="E139" s="2" t="s">
        <v>230</v>
      </c>
      <c r="F139" s="2" t="s">
        <v>65</v>
      </c>
      <c r="G139" s="2" t="s">
        <v>59</v>
      </c>
      <c r="H139" s="2" t="str">
        <f>IF('P5-S5'!G19="","",'P5-S5'!G19)</f>
        <v>Not Started</v>
      </c>
      <c r="I139" s="2" t="str">
        <f>IF('P5-S5'!H19="","",'P5-S5'!H19)</f>
        <v>Not Started</v>
      </c>
      <c r="J139" s="2" t="str">
        <f>IF('P5-S5'!I19="","",'P5-S5'!I19)</f>
        <v>Not Started</v>
      </c>
      <c r="K139" s="2" t="str">
        <f>IF('P5-S5'!J19="","",'P5-S5'!J19)</f>
        <v>Not Deployed</v>
      </c>
      <c r="L139" s="2" t="str">
        <f>IF('P5-S5'!K19="","",'P5-S5'!K19)</f>
        <v>Not Deployed</v>
      </c>
      <c r="M139" s="7" t="str">
        <f>IF('P5-S5'!L19="","",'P5-S5'!L19)</f>
        <v/>
      </c>
      <c r="N139" s="2" t="str">
        <f>IF('P5-S5'!M19="","",'P5-S5'!M19)</f>
        <v/>
      </c>
      <c r="O139" s="6" t="str">
        <f>IF('P5-S5'!N19="","",'P5-S5'!N19)</f>
        <v/>
      </c>
    </row>
    <row r="140" spans="1:15" ht="25.5" customHeight="1">
      <c r="A140" s="2">
        <v>138</v>
      </c>
      <c r="B140" s="2" t="s">
        <v>31</v>
      </c>
      <c r="C140" s="6" t="s">
        <v>228</v>
      </c>
      <c r="D140" s="6" t="s">
        <v>237</v>
      </c>
      <c r="E140" s="2" t="s">
        <v>230</v>
      </c>
      <c r="F140" s="2" t="s">
        <v>58</v>
      </c>
      <c r="G140" s="2" t="s">
        <v>59</v>
      </c>
      <c r="H140" s="2" t="str">
        <f>IF('P5-S5'!G20="","",'P5-S5'!G20)</f>
        <v>Not Started</v>
      </c>
      <c r="I140" s="2" t="str">
        <f>IF('P5-S5'!H20="","",'P5-S5'!H20)</f>
        <v>Not Started</v>
      </c>
      <c r="J140" s="2" t="str">
        <f>IF('P5-S5'!I20="","",'P5-S5'!I20)</f>
        <v>Not Started</v>
      </c>
      <c r="K140" s="2" t="str">
        <f>IF('P5-S5'!J20="","",'P5-S5'!J20)</f>
        <v>Not Deployed</v>
      </c>
      <c r="L140" s="2" t="str">
        <f>IF('P5-S5'!K20="","",'P5-S5'!K20)</f>
        <v>Not Deployed</v>
      </c>
      <c r="M140" s="7" t="str">
        <f>IF('P5-S5'!L20="","",'P5-S5'!L20)</f>
        <v/>
      </c>
      <c r="N140" s="2" t="str">
        <f>IF('P5-S5'!M20="","",'P5-S5'!M20)</f>
        <v/>
      </c>
      <c r="O140" s="6" t="str">
        <f>IF('P5-S5'!N20="","",'P5-S5'!N20)</f>
        <v/>
      </c>
    </row>
    <row r="141" spans="1:15" ht="25.5" customHeight="1">
      <c r="A141" s="2">
        <v>139</v>
      </c>
      <c r="B141" s="2" t="s">
        <v>31</v>
      </c>
      <c r="C141" s="6" t="s">
        <v>238</v>
      </c>
      <c r="D141" s="6" t="s">
        <v>239</v>
      </c>
      <c r="E141" s="2" t="s">
        <v>240</v>
      </c>
      <c r="F141" s="2" t="s">
        <v>58</v>
      </c>
      <c r="G141" s="2" t="s">
        <v>59</v>
      </c>
      <c r="H141" s="2" t="str">
        <f>IF('P5-S5'!G21="","",'P5-S5'!G21)</f>
        <v>Not Started</v>
      </c>
      <c r="I141" s="2" t="str">
        <f>IF('P5-S5'!H21="","",'P5-S5'!H21)</f>
        <v>Not Started</v>
      </c>
      <c r="J141" s="2" t="str">
        <f>IF('P5-S5'!I21="","",'P5-S5'!I21)</f>
        <v>Not Started</v>
      </c>
      <c r="K141" s="2" t="str">
        <f>IF('P5-S5'!J21="","",'P5-S5'!J21)</f>
        <v>Not Deployed</v>
      </c>
      <c r="L141" s="2" t="str">
        <f>IF('P5-S5'!K21="","",'P5-S5'!K21)</f>
        <v>Not Deployed</v>
      </c>
      <c r="M141" s="7" t="str">
        <f>IF('P5-S5'!L21="","",'P5-S5'!L21)</f>
        <v/>
      </c>
      <c r="N141" s="2" t="str">
        <f>IF('P5-S5'!M21="","",'P5-S5'!M21)</f>
        <v/>
      </c>
      <c r="O141" s="6" t="str">
        <f>IF('P5-S5'!N21="","",'P5-S5'!N21)</f>
        <v/>
      </c>
    </row>
    <row r="142" spans="1:15" ht="25.5" customHeight="1">
      <c r="A142" s="2">
        <v>140</v>
      </c>
      <c r="B142" s="2" t="s">
        <v>31</v>
      </c>
      <c r="C142" s="6" t="s">
        <v>238</v>
      </c>
      <c r="D142" s="6" t="s">
        <v>241</v>
      </c>
      <c r="E142" s="2" t="s">
        <v>240</v>
      </c>
      <c r="F142" s="2" t="s">
        <v>58</v>
      </c>
      <c r="G142" s="2" t="s">
        <v>59</v>
      </c>
      <c r="H142" s="2" t="str">
        <f>IF('P5-S5'!G22="","",'P5-S5'!G22)</f>
        <v>Not Started</v>
      </c>
      <c r="I142" s="2" t="str">
        <f>IF('P5-S5'!H22="","",'P5-S5'!H22)</f>
        <v>Not Started</v>
      </c>
      <c r="J142" s="2" t="str">
        <f>IF('P5-S5'!I22="","",'P5-S5'!I22)</f>
        <v>Not Started</v>
      </c>
      <c r="K142" s="2" t="str">
        <f>IF('P5-S5'!J22="","",'P5-S5'!J22)</f>
        <v>Not Deployed</v>
      </c>
      <c r="L142" s="2" t="str">
        <f>IF('P5-S5'!K22="","",'P5-S5'!K22)</f>
        <v>Not Deployed</v>
      </c>
      <c r="M142" s="7" t="str">
        <f>IF('P5-S5'!L22="","",'P5-S5'!L22)</f>
        <v/>
      </c>
      <c r="N142" s="2" t="str">
        <f>IF('P5-S5'!M22="","",'P5-S5'!M22)</f>
        <v/>
      </c>
      <c r="O142" s="6" t="str">
        <f>IF('P5-S5'!N22="","",'P5-S5'!N22)</f>
        <v/>
      </c>
    </row>
    <row r="143" spans="1:15" ht="25.5" customHeight="1">
      <c r="A143" s="2">
        <v>141</v>
      </c>
      <c r="B143" s="2" t="s">
        <v>31</v>
      </c>
      <c r="C143" s="6" t="s">
        <v>238</v>
      </c>
      <c r="D143" s="6" t="s">
        <v>242</v>
      </c>
      <c r="E143" s="2" t="s">
        <v>240</v>
      </c>
      <c r="F143" s="2" t="s">
        <v>58</v>
      </c>
      <c r="G143" s="2" t="s">
        <v>59</v>
      </c>
      <c r="H143" s="2" t="str">
        <f>IF('P5-S5'!G23="","",'P5-S5'!G23)</f>
        <v>Not Started</v>
      </c>
      <c r="I143" s="2" t="str">
        <f>IF('P5-S5'!H23="","",'P5-S5'!H23)</f>
        <v>Not Started</v>
      </c>
      <c r="J143" s="2" t="str">
        <f>IF('P5-S5'!I23="","",'P5-S5'!I23)</f>
        <v>Not Started</v>
      </c>
      <c r="K143" s="2" t="str">
        <f>IF('P5-S5'!J23="","",'P5-S5'!J23)</f>
        <v>Not Deployed</v>
      </c>
      <c r="L143" s="2" t="str">
        <f>IF('P5-S5'!K23="","",'P5-S5'!K23)</f>
        <v>Not Deployed</v>
      </c>
      <c r="M143" s="7" t="str">
        <f>IF('P5-S5'!L23="","",'P5-S5'!L23)</f>
        <v/>
      </c>
      <c r="N143" s="2" t="str">
        <f>IF('P5-S5'!M23="","",'P5-S5'!M23)</f>
        <v/>
      </c>
      <c r="O143" s="6" t="str">
        <f>IF('P5-S5'!N23="","",'P5-S5'!N23)</f>
        <v/>
      </c>
    </row>
    <row r="144" spans="1:15" ht="25.5" customHeight="1">
      <c r="A144" s="2">
        <v>142</v>
      </c>
      <c r="B144" s="2" t="s">
        <v>31</v>
      </c>
      <c r="C144" s="6" t="s">
        <v>238</v>
      </c>
      <c r="D144" s="6" t="s">
        <v>243</v>
      </c>
      <c r="E144" s="2" t="s">
        <v>240</v>
      </c>
      <c r="F144" s="2" t="s">
        <v>65</v>
      </c>
      <c r="G144" s="2" t="s">
        <v>59</v>
      </c>
      <c r="H144" s="2" t="str">
        <f>IF('P5-S5'!G24="","",'P5-S5'!G24)</f>
        <v>Not Started</v>
      </c>
      <c r="I144" s="2" t="str">
        <f>IF('P5-S5'!H24="","",'P5-S5'!H24)</f>
        <v>Not Started</v>
      </c>
      <c r="J144" s="2" t="str">
        <f>IF('P5-S5'!I24="","",'P5-S5'!I24)</f>
        <v>Not Started</v>
      </c>
      <c r="K144" s="2" t="str">
        <f>IF('P5-S5'!J24="","",'P5-S5'!J24)</f>
        <v>Not Deployed</v>
      </c>
      <c r="L144" s="2" t="str">
        <f>IF('P5-S5'!K24="","",'P5-S5'!K24)</f>
        <v>Not Deployed</v>
      </c>
      <c r="M144" s="7" t="str">
        <f>IF('P5-S5'!L24="","",'P5-S5'!L24)</f>
        <v/>
      </c>
      <c r="N144" s="2" t="str">
        <f>IF('P5-S5'!M24="","",'P5-S5'!M24)</f>
        <v/>
      </c>
      <c r="O144" s="6" t="str">
        <f>IF('P5-S5'!N24="","",'P5-S5'!N24)</f>
        <v/>
      </c>
    </row>
    <row r="145" spans="1:15" ht="25.5" customHeight="1">
      <c r="A145" s="2">
        <v>143</v>
      </c>
      <c r="B145" s="2" t="s">
        <v>31</v>
      </c>
      <c r="C145" s="6" t="s">
        <v>238</v>
      </c>
      <c r="D145" s="6" t="s">
        <v>244</v>
      </c>
      <c r="E145" s="2" t="s">
        <v>240</v>
      </c>
      <c r="F145" s="2" t="s">
        <v>58</v>
      </c>
      <c r="G145" s="2" t="s">
        <v>59</v>
      </c>
      <c r="H145" s="2" t="str">
        <f>IF('P5-S5'!G25="","",'P5-S5'!G25)</f>
        <v>Not Started</v>
      </c>
      <c r="I145" s="2" t="str">
        <f>IF('P5-S5'!H25="","",'P5-S5'!H25)</f>
        <v>Not Started</v>
      </c>
      <c r="J145" s="2" t="str">
        <f>IF('P5-S5'!I25="","",'P5-S5'!I25)</f>
        <v>Not Started</v>
      </c>
      <c r="K145" s="2" t="str">
        <f>IF('P5-S5'!J25="","",'P5-S5'!J25)</f>
        <v>Not Deployed</v>
      </c>
      <c r="L145" s="2" t="str">
        <f>IF('P5-S5'!K25="","",'P5-S5'!K25)</f>
        <v>Not Deployed</v>
      </c>
      <c r="M145" s="7" t="str">
        <f>IF('P5-S5'!L25="","",'P5-S5'!L25)</f>
        <v/>
      </c>
      <c r="N145" s="2" t="str">
        <f>IF('P5-S5'!M25="","",'P5-S5'!M25)</f>
        <v/>
      </c>
      <c r="O145" s="6" t="str">
        <f>IF('P5-S5'!N25="","",'P5-S5'!N25)</f>
        <v/>
      </c>
    </row>
    <row r="146" spans="1:15" ht="25.5" customHeight="1">
      <c r="A146" s="2">
        <v>144</v>
      </c>
      <c r="B146" s="2" t="s">
        <v>31</v>
      </c>
      <c r="C146" s="6" t="s">
        <v>238</v>
      </c>
      <c r="D146" s="6" t="s">
        <v>245</v>
      </c>
      <c r="E146" s="2" t="s">
        <v>240</v>
      </c>
      <c r="F146" s="2" t="s">
        <v>58</v>
      </c>
      <c r="G146" s="2" t="s">
        <v>59</v>
      </c>
      <c r="H146" s="2" t="str">
        <f>IF('P5-S5'!G26="","",'P5-S5'!G26)</f>
        <v>Not Started</v>
      </c>
      <c r="I146" s="2" t="str">
        <f>IF('P5-S5'!H26="","",'P5-S5'!H26)</f>
        <v>Not Started</v>
      </c>
      <c r="J146" s="2" t="str">
        <f>IF('P5-S5'!I26="","",'P5-S5'!I26)</f>
        <v>Not Started</v>
      </c>
      <c r="K146" s="2" t="str">
        <f>IF('P5-S5'!J26="","",'P5-S5'!J26)</f>
        <v>Not Deployed</v>
      </c>
      <c r="L146" s="2" t="str">
        <f>IF('P5-S5'!K26="","",'P5-S5'!K26)</f>
        <v>Not Deployed</v>
      </c>
      <c r="M146" s="7" t="str">
        <f>IF('P5-S5'!L26="","",'P5-S5'!L26)</f>
        <v/>
      </c>
      <c r="N146" s="2" t="str">
        <f>IF('P5-S5'!M26="","",'P5-S5'!M26)</f>
        <v/>
      </c>
      <c r="O146" s="6" t="str">
        <f>IF('P5-S5'!N26="","",'P5-S5'!N26)</f>
        <v/>
      </c>
    </row>
    <row r="147" spans="1:15" ht="25.5" customHeight="1">
      <c r="A147" s="2">
        <v>145</v>
      </c>
      <c r="B147" s="2" t="s">
        <v>31</v>
      </c>
      <c r="C147" s="6" t="s">
        <v>238</v>
      </c>
      <c r="D147" s="6" t="s">
        <v>246</v>
      </c>
      <c r="E147" s="2" t="s">
        <v>240</v>
      </c>
      <c r="F147" s="2" t="s">
        <v>65</v>
      </c>
      <c r="G147" s="2" t="s">
        <v>59</v>
      </c>
      <c r="H147" s="2" t="str">
        <f>IF('P5-S5'!G27="","",'P5-S5'!G27)</f>
        <v>Not Started</v>
      </c>
      <c r="I147" s="2" t="str">
        <f>IF('P5-S5'!H27="","",'P5-S5'!H27)</f>
        <v>Not Started</v>
      </c>
      <c r="J147" s="2" t="str">
        <f>IF('P5-S5'!I27="","",'P5-S5'!I27)</f>
        <v>Not Started</v>
      </c>
      <c r="K147" s="2" t="str">
        <f>IF('P5-S5'!J27="","",'P5-S5'!J27)</f>
        <v>Not Deployed</v>
      </c>
      <c r="L147" s="2" t="str">
        <f>IF('P5-S5'!K27="","",'P5-S5'!K27)</f>
        <v>Not Deployed</v>
      </c>
      <c r="M147" s="7" t="str">
        <f>IF('P5-S5'!L27="","",'P5-S5'!L27)</f>
        <v/>
      </c>
      <c r="N147" s="2" t="str">
        <f>IF('P5-S5'!M27="","",'P5-S5'!M27)</f>
        <v/>
      </c>
      <c r="O147" s="6" t="str">
        <f>IF('P5-S5'!N27="","",'P5-S5'!N27)</f>
        <v/>
      </c>
    </row>
    <row r="148" spans="1:15" ht="25.5" customHeight="1">
      <c r="A148" s="2">
        <v>146</v>
      </c>
      <c r="B148" s="2" t="s">
        <v>31</v>
      </c>
      <c r="C148" s="6" t="s">
        <v>238</v>
      </c>
      <c r="D148" s="6" t="s">
        <v>247</v>
      </c>
      <c r="E148" s="2" t="s">
        <v>240</v>
      </c>
      <c r="F148" s="2" t="s">
        <v>65</v>
      </c>
      <c r="G148" s="2" t="s">
        <v>59</v>
      </c>
      <c r="H148" s="2" t="str">
        <f>IF('P5-S5'!G28="","",'P5-S5'!G28)</f>
        <v>Not Started</v>
      </c>
      <c r="I148" s="2" t="str">
        <f>IF('P5-S5'!H28="","",'P5-S5'!H28)</f>
        <v>Not Started</v>
      </c>
      <c r="J148" s="2" t="str">
        <f>IF('P5-S5'!I28="","",'P5-S5'!I28)</f>
        <v>Not Started</v>
      </c>
      <c r="K148" s="2" t="str">
        <f>IF('P5-S5'!J28="","",'P5-S5'!J28)</f>
        <v>Not Deployed</v>
      </c>
      <c r="L148" s="2" t="str">
        <f>IF('P5-S5'!K28="","",'P5-S5'!K28)</f>
        <v>Not Deployed</v>
      </c>
      <c r="M148" s="7" t="str">
        <f>IF('P5-S5'!L28="","",'P5-S5'!L28)</f>
        <v/>
      </c>
      <c r="N148" s="2" t="str">
        <f>IF('P5-S5'!M28="","",'P5-S5'!M28)</f>
        <v/>
      </c>
      <c r="O148" s="6" t="str">
        <f>IF('P5-S5'!N28="","",'P5-S5'!N28)</f>
        <v/>
      </c>
    </row>
    <row r="149" spans="1:15" ht="25.5" customHeight="1">
      <c r="A149" s="2">
        <v>147</v>
      </c>
      <c r="B149" s="2" t="s">
        <v>31</v>
      </c>
      <c r="C149" s="6" t="s">
        <v>238</v>
      </c>
      <c r="D149" s="6" t="s">
        <v>248</v>
      </c>
      <c r="E149" s="2" t="s">
        <v>240</v>
      </c>
      <c r="F149" s="2" t="s">
        <v>65</v>
      </c>
      <c r="G149" s="2" t="s">
        <v>68</v>
      </c>
      <c r="H149" s="2" t="str">
        <f>IF('P5-S5'!G29="","",'P5-S5'!G29)</f>
        <v>Not Started</v>
      </c>
      <c r="I149" s="2" t="str">
        <f>IF('P5-S5'!H29="","",'P5-S5'!H29)</f>
        <v>Not Started</v>
      </c>
      <c r="J149" s="2" t="str">
        <f>IF('P5-S5'!I29="","",'P5-S5'!I29)</f>
        <v>Not Started</v>
      </c>
      <c r="K149" s="2" t="str">
        <f>IF('P5-S5'!J29="","",'P5-S5'!J29)</f>
        <v>Not Deployed</v>
      </c>
      <c r="L149" s="2" t="str">
        <f>IF('P5-S5'!K29="","",'P5-S5'!K29)</f>
        <v>Not Deployed</v>
      </c>
      <c r="M149" s="7" t="str">
        <f>IF('P5-S5'!L29="","",'P5-S5'!L29)</f>
        <v/>
      </c>
      <c r="N149" s="2" t="str">
        <f>IF('P5-S5'!M29="","",'P5-S5'!M29)</f>
        <v/>
      </c>
      <c r="O149" s="6" t="str">
        <f>IF('P5-S5'!N29="","",'P5-S5'!N29)</f>
        <v/>
      </c>
    </row>
    <row r="150" spans="1:15" ht="25.5" customHeight="1">
      <c r="A150" s="2">
        <v>148</v>
      </c>
      <c r="B150" s="2" t="s">
        <v>31</v>
      </c>
      <c r="C150" s="6" t="s">
        <v>238</v>
      </c>
      <c r="D150" s="6" t="s">
        <v>249</v>
      </c>
      <c r="E150" s="2" t="s">
        <v>250</v>
      </c>
      <c r="F150" s="2" t="s">
        <v>58</v>
      </c>
      <c r="G150" s="2" t="s">
        <v>68</v>
      </c>
      <c r="H150" s="2" t="str">
        <f>IF('P5-S5'!G30="","",'P5-S5'!G30)</f>
        <v>Not Started</v>
      </c>
      <c r="I150" s="2" t="str">
        <f>IF('P5-S5'!H30="","",'P5-S5'!H30)</f>
        <v>Not Started</v>
      </c>
      <c r="J150" s="2" t="str">
        <f>IF('P5-S5'!I30="","",'P5-S5'!I30)</f>
        <v>Not Started</v>
      </c>
      <c r="K150" s="2" t="str">
        <f>IF('P5-S5'!J30="","",'P5-S5'!J30)</f>
        <v>Not Deployed</v>
      </c>
      <c r="L150" s="2" t="str">
        <f>IF('P5-S5'!K30="","",'P5-S5'!K30)</f>
        <v>Not Deployed</v>
      </c>
      <c r="M150" s="7" t="str">
        <f>IF('P5-S5'!L30="","",'P5-S5'!L30)</f>
        <v/>
      </c>
      <c r="N150" s="2" t="str">
        <f>IF('P5-S5'!M30="","",'P5-S5'!M30)</f>
        <v/>
      </c>
      <c r="O150" s="6" t="str">
        <f>IF('P5-S5'!N30="","",'P5-S5'!N30)</f>
        <v/>
      </c>
    </row>
    <row r="151" spans="1:15" ht="25.5" customHeight="1">
      <c r="A151" s="2">
        <v>149</v>
      </c>
      <c r="B151" s="2" t="s">
        <v>31</v>
      </c>
      <c r="C151" s="6" t="s">
        <v>238</v>
      </c>
      <c r="D151" s="6" t="s">
        <v>251</v>
      </c>
      <c r="E151" s="2" t="s">
        <v>252</v>
      </c>
      <c r="F151" s="2" t="s">
        <v>58</v>
      </c>
      <c r="G151" s="2" t="s">
        <v>68</v>
      </c>
      <c r="H151" s="2" t="str">
        <f>IF('P5-S5'!G31="","",'P5-S5'!G31)</f>
        <v>Not Started</v>
      </c>
      <c r="I151" s="2" t="str">
        <f>IF('P5-S5'!H31="","",'P5-S5'!H31)</f>
        <v>Not Started</v>
      </c>
      <c r="J151" s="2" t="str">
        <f>IF('P5-S5'!I31="","",'P5-S5'!I31)</f>
        <v>Not Started</v>
      </c>
      <c r="K151" s="2" t="str">
        <f>IF('P5-S5'!J31="","",'P5-S5'!J31)</f>
        <v>Not Deployed</v>
      </c>
      <c r="L151" s="2" t="str">
        <f>IF('P5-S5'!K31="","",'P5-S5'!K31)</f>
        <v>Not Deployed</v>
      </c>
      <c r="M151" s="7" t="str">
        <f>IF('P5-S5'!L31="","",'P5-S5'!L31)</f>
        <v/>
      </c>
      <c r="N151" s="2" t="str">
        <f>IF('P5-S5'!M31="","",'P5-S5'!M31)</f>
        <v/>
      </c>
      <c r="O151" s="6" t="str">
        <f>IF('P5-S5'!N31="","",'P5-S5'!N31)</f>
        <v/>
      </c>
    </row>
    <row r="152" spans="1:15" ht="25.5" customHeight="1">
      <c r="A152" s="2">
        <v>150</v>
      </c>
      <c r="B152" s="2" t="s">
        <v>31</v>
      </c>
      <c r="C152" s="6" t="s">
        <v>238</v>
      </c>
      <c r="D152" s="6" t="s">
        <v>253</v>
      </c>
      <c r="E152" s="2" t="s">
        <v>254</v>
      </c>
      <c r="F152" s="2" t="s">
        <v>58</v>
      </c>
      <c r="G152" s="2" t="s">
        <v>59</v>
      </c>
      <c r="H152" s="2" t="str">
        <f>IF('P5-S5'!G32="","",'P5-S5'!G32)</f>
        <v>Not Started</v>
      </c>
      <c r="I152" s="2" t="str">
        <f>IF('P5-S5'!H32="","",'P5-S5'!H32)</f>
        <v>Not Started</v>
      </c>
      <c r="J152" s="2" t="str">
        <f>IF('P5-S5'!I32="","",'P5-S5'!I32)</f>
        <v>Not Started</v>
      </c>
      <c r="K152" s="2" t="str">
        <f>IF('P5-S5'!J32="","",'P5-S5'!J32)</f>
        <v>Not Deployed</v>
      </c>
      <c r="L152" s="2" t="str">
        <f>IF('P5-S5'!K32="","",'P5-S5'!K32)</f>
        <v>Not Deployed</v>
      </c>
      <c r="M152" s="7" t="str">
        <f>IF('P5-S5'!L32="","",'P5-S5'!L32)</f>
        <v/>
      </c>
      <c r="N152" s="2" t="str">
        <f>IF('P5-S5'!M32="","",'P5-S5'!M32)</f>
        <v/>
      </c>
      <c r="O152" s="6" t="str">
        <f>IF('P5-S5'!N32="","",'P5-S5'!N32)</f>
        <v/>
      </c>
    </row>
    <row r="153" spans="1:15" ht="25.5" customHeight="1">
      <c r="A153" s="2">
        <v>151</v>
      </c>
      <c r="B153" s="2" t="s">
        <v>35</v>
      </c>
      <c r="C153" s="6" t="s">
        <v>255</v>
      </c>
      <c r="D153" s="6" t="s">
        <v>256</v>
      </c>
      <c r="E153" s="2" t="s">
        <v>257</v>
      </c>
      <c r="F153" s="2" t="s">
        <v>58</v>
      </c>
      <c r="G153" s="2" t="s">
        <v>59</v>
      </c>
      <c r="H153" s="2" t="str">
        <f>IF('P5-S6'!G3="","",'P5-S6'!G3)</f>
        <v>Not Started</v>
      </c>
      <c r="I153" s="2" t="str">
        <f>IF('P5-S6'!H3="","",'P5-S6'!H3)</f>
        <v>Not Started</v>
      </c>
      <c r="J153" s="2" t="str">
        <f>IF('P5-S6'!I3="","",'P5-S6'!I3)</f>
        <v>Not Started</v>
      </c>
      <c r="K153" s="2" t="str">
        <f>IF('P5-S6'!J3="","",'P5-S6'!J3)</f>
        <v>Not Deployed</v>
      </c>
      <c r="L153" s="2" t="str">
        <f>IF('P5-S6'!K3="","",'P5-S6'!K3)</f>
        <v>Not Deployed</v>
      </c>
      <c r="M153" s="7" t="str">
        <f>IF('P5-S6'!L3="","",'P5-S6'!L3)</f>
        <v/>
      </c>
      <c r="N153" s="2" t="str">
        <f>IF('P5-S6'!M3="","",'P5-S6'!M3)</f>
        <v/>
      </c>
      <c r="O153" s="6" t="str">
        <f>IF('P5-S6'!N3="","",'P5-S6'!N3)</f>
        <v/>
      </c>
    </row>
    <row r="154" spans="1:15" ht="25.5" customHeight="1">
      <c r="A154" s="2">
        <v>152</v>
      </c>
      <c r="B154" s="2" t="s">
        <v>35</v>
      </c>
      <c r="C154" s="6" t="s">
        <v>255</v>
      </c>
      <c r="D154" s="6" t="s">
        <v>258</v>
      </c>
      <c r="E154" s="2" t="s">
        <v>257</v>
      </c>
      <c r="F154" s="2" t="s">
        <v>58</v>
      </c>
      <c r="G154" s="2" t="s">
        <v>59</v>
      </c>
      <c r="H154" s="2" t="str">
        <f>IF('P5-S6'!G4="","",'P5-S6'!G4)</f>
        <v>Not Started</v>
      </c>
      <c r="I154" s="2" t="str">
        <f>IF('P5-S6'!H4="","",'P5-S6'!H4)</f>
        <v>Not Started</v>
      </c>
      <c r="J154" s="2" t="str">
        <f>IF('P5-S6'!I4="","",'P5-S6'!I4)</f>
        <v>Not Started</v>
      </c>
      <c r="K154" s="2" t="str">
        <f>IF('P5-S6'!J4="","",'P5-S6'!J4)</f>
        <v>Not Deployed</v>
      </c>
      <c r="L154" s="2" t="str">
        <f>IF('P5-S6'!K4="","",'P5-S6'!K4)</f>
        <v>Not Deployed</v>
      </c>
      <c r="M154" s="7" t="str">
        <f>IF('P5-S6'!L4="","",'P5-S6'!L4)</f>
        <v/>
      </c>
      <c r="N154" s="2" t="str">
        <f>IF('P5-S6'!M4="","",'P5-S6'!M4)</f>
        <v/>
      </c>
      <c r="O154" s="6" t="str">
        <f>IF('P5-S6'!N4="","",'P5-S6'!N4)</f>
        <v/>
      </c>
    </row>
    <row r="155" spans="1:15" ht="25.5" customHeight="1">
      <c r="A155" s="2">
        <v>153</v>
      </c>
      <c r="B155" s="2" t="s">
        <v>35</v>
      </c>
      <c r="C155" s="6" t="s">
        <v>255</v>
      </c>
      <c r="D155" s="6" t="s">
        <v>259</v>
      </c>
      <c r="E155" s="2" t="s">
        <v>257</v>
      </c>
      <c r="F155" s="2" t="s">
        <v>58</v>
      </c>
      <c r="G155" s="2" t="s">
        <v>59</v>
      </c>
      <c r="H155" s="2" t="str">
        <f>IF('P5-S6'!G5="","",'P5-S6'!G5)</f>
        <v>Not Started</v>
      </c>
      <c r="I155" s="2" t="str">
        <f>IF('P5-S6'!H5="","",'P5-S6'!H5)</f>
        <v>Not Started</v>
      </c>
      <c r="J155" s="2" t="str">
        <f>IF('P5-S6'!I5="","",'P5-S6'!I5)</f>
        <v>Not Started</v>
      </c>
      <c r="K155" s="2" t="str">
        <f>IF('P5-S6'!J5="","",'P5-S6'!J5)</f>
        <v>Not Deployed</v>
      </c>
      <c r="L155" s="2" t="str">
        <f>IF('P5-S6'!K5="","",'P5-S6'!K5)</f>
        <v>Not Deployed</v>
      </c>
      <c r="M155" s="7" t="str">
        <f>IF('P5-S6'!L5="","",'P5-S6'!L5)</f>
        <v/>
      </c>
      <c r="N155" s="2" t="str">
        <f>IF('P5-S6'!M5="","",'P5-S6'!M5)</f>
        <v/>
      </c>
      <c r="O155" s="6" t="str">
        <f>IF('P5-S6'!N5="","",'P5-S6'!N5)</f>
        <v/>
      </c>
    </row>
    <row r="156" spans="1:15" ht="25.5" customHeight="1">
      <c r="A156" s="2">
        <v>154</v>
      </c>
      <c r="B156" s="2" t="s">
        <v>35</v>
      </c>
      <c r="C156" s="6" t="s">
        <v>255</v>
      </c>
      <c r="D156" s="6" t="s">
        <v>260</v>
      </c>
      <c r="E156" s="2" t="s">
        <v>257</v>
      </c>
      <c r="F156" s="2" t="s">
        <v>58</v>
      </c>
      <c r="G156" s="2" t="s">
        <v>59</v>
      </c>
      <c r="H156" s="2" t="str">
        <f>IF('P5-S6'!G6="","",'P5-S6'!G6)</f>
        <v>Not Started</v>
      </c>
      <c r="I156" s="2" t="str">
        <f>IF('P5-S6'!H6="","",'P5-S6'!H6)</f>
        <v>Not Started</v>
      </c>
      <c r="J156" s="2" t="str">
        <f>IF('P5-S6'!I6="","",'P5-S6'!I6)</f>
        <v>Not Started</v>
      </c>
      <c r="K156" s="2" t="str">
        <f>IF('P5-S6'!J6="","",'P5-S6'!J6)</f>
        <v>Not Deployed</v>
      </c>
      <c r="L156" s="2" t="str">
        <f>IF('P5-S6'!K6="","",'P5-S6'!K6)</f>
        <v>Not Deployed</v>
      </c>
      <c r="M156" s="7" t="str">
        <f>IF('P5-S6'!L6="","",'P5-S6'!L6)</f>
        <v/>
      </c>
      <c r="N156" s="2" t="str">
        <f>IF('P5-S6'!M6="","",'P5-S6'!M6)</f>
        <v/>
      </c>
      <c r="O156" s="6" t="str">
        <f>IF('P5-S6'!N6="","",'P5-S6'!N6)</f>
        <v/>
      </c>
    </row>
    <row r="157" spans="1:15" ht="25.5" customHeight="1">
      <c r="A157" s="2">
        <v>155</v>
      </c>
      <c r="B157" s="2" t="s">
        <v>35</v>
      </c>
      <c r="C157" s="6" t="s">
        <v>255</v>
      </c>
      <c r="D157" s="6" t="s">
        <v>261</v>
      </c>
      <c r="E157" s="2" t="s">
        <v>257</v>
      </c>
      <c r="F157" s="2" t="s">
        <v>58</v>
      </c>
      <c r="G157" s="2" t="s">
        <v>59</v>
      </c>
      <c r="H157" s="2" t="str">
        <f>IF('P5-S6'!G7="","",'P5-S6'!G7)</f>
        <v>Not Started</v>
      </c>
      <c r="I157" s="2" t="str">
        <f>IF('P5-S6'!H7="","",'P5-S6'!H7)</f>
        <v>Not Started</v>
      </c>
      <c r="J157" s="2" t="str">
        <f>IF('P5-S6'!I7="","",'P5-S6'!I7)</f>
        <v>Not Started</v>
      </c>
      <c r="K157" s="2" t="str">
        <f>IF('P5-S6'!J7="","",'P5-S6'!J7)</f>
        <v>Not Deployed</v>
      </c>
      <c r="L157" s="2" t="str">
        <f>IF('P5-S6'!K7="","",'P5-S6'!K7)</f>
        <v>Not Deployed</v>
      </c>
      <c r="M157" s="7" t="str">
        <f>IF('P5-S6'!L7="","",'P5-S6'!L7)</f>
        <v/>
      </c>
      <c r="N157" s="2" t="str">
        <f>IF('P5-S6'!M7="","",'P5-S6'!M7)</f>
        <v/>
      </c>
      <c r="O157" s="6" t="str">
        <f>IF('P5-S6'!N7="","",'P5-S6'!N7)</f>
        <v/>
      </c>
    </row>
    <row r="158" spans="1:15" ht="25.5" customHeight="1">
      <c r="A158" s="2">
        <v>156</v>
      </c>
      <c r="B158" s="2" t="s">
        <v>35</v>
      </c>
      <c r="C158" s="6" t="s">
        <v>255</v>
      </c>
      <c r="D158" s="6" t="s">
        <v>262</v>
      </c>
      <c r="E158" s="2" t="s">
        <v>257</v>
      </c>
      <c r="F158" s="2" t="s">
        <v>58</v>
      </c>
      <c r="G158" s="2" t="s">
        <v>68</v>
      </c>
      <c r="H158" s="2" t="str">
        <f>IF('P5-S6'!G8="","",'P5-S6'!G8)</f>
        <v>Not Started</v>
      </c>
      <c r="I158" s="2" t="str">
        <f>IF('P5-S6'!H8="","",'P5-S6'!H8)</f>
        <v>Not Started</v>
      </c>
      <c r="J158" s="2" t="str">
        <f>IF('P5-S6'!I8="","",'P5-S6'!I8)</f>
        <v>Not Started</v>
      </c>
      <c r="K158" s="2" t="str">
        <f>IF('P5-S6'!J8="","",'P5-S6'!J8)</f>
        <v>Not Deployed</v>
      </c>
      <c r="L158" s="2" t="str">
        <f>IF('P5-S6'!K8="","",'P5-S6'!K8)</f>
        <v>Not Deployed</v>
      </c>
      <c r="M158" s="7" t="str">
        <f>IF('P5-S6'!L8="","",'P5-S6'!L8)</f>
        <v/>
      </c>
      <c r="N158" s="2" t="str">
        <f>IF('P5-S6'!M8="","",'P5-S6'!M8)</f>
        <v/>
      </c>
      <c r="O158" s="6" t="str">
        <f>IF('P5-S6'!N8="","",'P5-S6'!N8)</f>
        <v/>
      </c>
    </row>
    <row r="159" spans="1:15" ht="25.5" customHeight="1">
      <c r="A159" s="2">
        <v>157</v>
      </c>
      <c r="B159" s="2" t="s">
        <v>35</v>
      </c>
      <c r="C159" s="6" t="s">
        <v>255</v>
      </c>
      <c r="D159" s="6" t="s">
        <v>263</v>
      </c>
      <c r="E159" s="2" t="s">
        <v>264</v>
      </c>
      <c r="F159" s="2" t="s">
        <v>58</v>
      </c>
      <c r="G159" s="2" t="s">
        <v>59</v>
      </c>
      <c r="H159" s="2" t="str">
        <f>IF('P5-S6'!G9="","",'P5-S6'!G9)</f>
        <v>Not Started</v>
      </c>
      <c r="I159" s="2" t="str">
        <f>IF('P5-S6'!H9="","",'P5-S6'!H9)</f>
        <v>Not Started</v>
      </c>
      <c r="J159" s="2" t="str">
        <f>IF('P5-S6'!I9="","",'P5-S6'!I9)</f>
        <v>Not Started</v>
      </c>
      <c r="K159" s="2" t="str">
        <f>IF('P5-S6'!J9="","",'P5-S6'!J9)</f>
        <v>Not Deployed</v>
      </c>
      <c r="L159" s="2" t="str">
        <f>IF('P5-S6'!K9="","",'P5-S6'!K9)</f>
        <v>Not Deployed</v>
      </c>
      <c r="M159" s="7" t="str">
        <f>IF('P5-S6'!L9="","",'P5-S6'!L9)</f>
        <v/>
      </c>
      <c r="N159" s="2" t="str">
        <f>IF('P5-S6'!M9="","",'P5-S6'!M9)</f>
        <v/>
      </c>
      <c r="O159" s="6" t="str">
        <f>IF('P5-S6'!N9="","",'P5-S6'!N9)</f>
        <v/>
      </c>
    </row>
    <row r="160" spans="1:15" ht="25.5" customHeight="1">
      <c r="A160" s="2">
        <v>158</v>
      </c>
      <c r="B160" s="2" t="s">
        <v>35</v>
      </c>
      <c r="C160" s="6" t="s">
        <v>255</v>
      </c>
      <c r="D160" s="6" t="s">
        <v>265</v>
      </c>
      <c r="E160" s="2" t="s">
        <v>257</v>
      </c>
      <c r="F160" s="2" t="s">
        <v>58</v>
      </c>
      <c r="G160" s="2" t="s">
        <v>68</v>
      </c>
      <c r="H160" s="2" t="str">
        <f>IF('P5-S6'!G10="","",'P5-S6'!G10)</f>
        <v>Not Started</v>
      </c>
      <c r="I160" s="2" t="str">
        <f>IF('P5-S6'!H10="","",'P5-S6'!H10)</f>
        <v>Not Started</v>
      </c>
      <c r="J160" s="2" t="str">
        <f>IF('P5-S6'!I10="","",'P5-S6'!I10)</f>
        <v>Not Started</v>
      </c>
      <c r="K160" s="2" t="str">
        <f>IF('P5-S6'!J10="","",'P5-S6'!J10)</f>
        <v>Not Deployed</v>
      </c>
      <c r="L160" s="2" t="str">
        <f>IF('P5-S6'!K10="","",'P5-S6'!K10)</f>
        <v>Not Deployed</v>
      </c>
      <c r="M160" s="7" t="str">
        <f>IF('P5-S6'!L10="","",'P5-S6'!L10)</f>
        <v/>
      </c>
      <c r="N160" s="2" t="str">
        <f>IF('P5-S6'!M10="","",'P5-S6'!M10)</f>
        <v/>
      </c>
      <c r="O160" s="6" t="str">
        <f>IF('P5-S6'!N10="","",'P5-S6'!N10)</f>
        <v/>
      </c>
    </row>
    <row r="161" spans="1:15" ht="25.5" customHeight="1">
      <c r="A161" s="2">
        <v>159</v>
      </c>
      <c r="B161" s="2" t="s">
        <v>35</v>
      </c>
      <c r="C161" s="6" t="s">
        <v>255</v>
      </c>
      <c r="D161" s="6" t="s">
        <v>266</v>
      </c>
      <c r="E161" s="2" t="s">
        <v>254</v>
      </c>
      <c r="F161" s="2" t="s">
        <v>58</v>
      </c>
      <c r="G161" s="2" t="s">
        <v>59</v>
      </c>
      <c r="H161" s="2" t="str">
        <f>IF('P5-S6'!G11="","",'P5-S6'!G11)</f>
        <v>Not Started</v>
      </c>
      <c r="I161" s="2" t="str">
        <f>IF('P5-S6'!H11="","",'P5-S6'!H11)</f>
        <v>Not Started</v>
      </c>
      <c r="J161" s="2" t="str">
        <f>IF('P5-S6'!I11="","",'P5-S6'!I11)</f>
        <v>Not Started</v>
      </c>
      <c r="K161" s="2" t="str">
        <f>IF('P5-S6'!J11="","",'P5-S6'!J11)</f>
        <v>Not Deployed</v>
      </c>
      <c r="L161" s="2" t="str">
        <f>IF('P5-S6'!K11="","",'P5-S6'!K11)</f>
        <v>Not Deployed</v>
      </c>
      <c r="M161" s="7" t="str">
        <f>IF('P5-S6'!L11="","",'P5-S6'!L11)</f>
        <v/>
      </c>
      <c r="N161" s="2" t="str">
        <f>IF('P5-S6'!M11="","",'P5-S6'!M11)</f>
        <v/>
      </c>
      <c r="O161" s="6" t="str">
        <f>IF('P5-S6'!N11="","",'P5-S6'!N11)</f>
        <v/>
      </c>
    </row>
    <row r="162" spans="1:15" ht="25.5" customHeight="1">
      <c r="A162" s="2">
        <v>160</v>
      </c>
      <c r="B162" s="2" t="s">
        <v>35</v>
      </c>
      <c r="C162" s="6" t="s">
        <v>267</v>
      </c>
      <c r="D162" s="6" t="s">
        <v>268</v>
      </c>
      <c r="E162" s="2" t="s">
        <v>269</v>
      </c>
      <c r="F162" s="2" t="s">
        <v>58</v>
      </c>
      <c r="G162" s="2" t="s">
        <v>59</v>
      </c>
      <c r="H162" s="2" t="str">
        <f>IF('P5-S6'!G12="","",'P5-S6'!G12)</f>
        <v>Not Started</v>
      </c>
      <c r="I162" s="2" t="str">
        <f>IF('P5-S6'!H12="","",'P5-S6'!H12)</f>
        <v>Not Started</v>
      </c>
      <c r="J162" s="2" t="str">
        <f>IF('P5-S6'!I12="","",'P5-S6'!I12)</f>
        <v>Not Started</v>
      </c>
      <c r="K162" s="2" t="str">
        <f>IF('P5-S6'!J12="","",'P5-S6'!J12)</f>
        <v>Not Deployed</v>
      </c>
      <c r="L162" s="2" t="str">
        <f>IF('P5-S6'!K12="","",'P5-S6'!K12)</f>
        <v>Not Deployed</v>
      </c>
      <c r="M162" s="7" t="str">
        <f>IF('P5-S6'!L12="","",'P5-S6'!L12)</f>
        <v/>
      </c>
      <c r="N162" s="2" t="str">
        <f>IF('P5-S6'!M12="","",'P5-S6'!M12)</f>
        <v/>
      </c>
      <c r="O162" s="6" t="str">
        <f>IF('P5-S6'!N12="","",'P5-S6'!N12)</f>
        <v/>
      </c>
    </row>
    <row r="163" spans="1:15" ht="25.5" customHeight="1">
      <c r="A163" s="2">
        <v>161</v>
      </c>
      <c r="B163" s="2" t="s">
        <v>35</v>
      </c>
      <c r="C163" s="6" t="s">
        <v>267</v>
      </c>
      <c r="D163" s="6" t="s">
        <v>270</v>
      </c>
      <c r="E163" s="2" t="s">
        <v>269</v>
      </c>
      <c r="F163" s="2" t="s">
        <v>58</v>
      </c>
      <c r="G163" s="2" t="s">
        <v>59</v>
      </c>
      <c r="H163" s="2" t="str">
        <f>IF('P5-S6'!G13="","",'P5-S6'!G13)</f>
        <v>Not Started</v>
      </c>
      <c r="I163" s="2" t="str">
        <f>IF('P5-S6'!H13="","",'P5-S6'!H13)</f>
        <v>Not Started</v>
      </c>
      <c r="J163" s="2" t="str">
        <f>IF('P5-S6'!I13="","",'P5-S6'!I13)</f>
        <v>Not Started</v>
      </c>
      <c r="K163" s="2" t="str">
        <f>IF('P5-S6'!J13="","",'P5-S6'!J13)</f>
        <v>Not Deployed</v>
      </c>
      <c r="L163" s="2" t="str">
        <f>IF('P5-S6'!K13="","",'P5-S6'!K13)</f>
        <v>Not Deployed</v>
      </c>
      <c r="M163" s="7" t="str">
        <f>IF('P5-S6'!L13="","",'P5-S6'!L13)</f>
        <v/>
      </c>
      <c r="N163" s="2" t="str">
        <f>IF('P5-S6'!M13="","",'P5-S6'!M13)</f>
        <v/>
      </c>
      <c r="O163" s="6" t="str">
        <f>IF('P5-S6'!N13="","",'P5-S6'!N13)</f>
        <v/>
      </c>
    </row>
    <row r="164" spans="1:15" ht="25.5" customHeight="1">
      <c r="A164" s="2">
        <v>162</v>
      </c>
      <c r="B164" s="2" t="s">
        <v>35</v>
      </c>
      <c r="C164" s="6" t="s">
        <v>267</v>
      </c>
      <c r="D164" s="6" t="s">
        <v>271</v>
      </c>
      <c r="E164" s="2" t="s">
        <v>272</v>
      </c>
      <c r="F164" s="2" t="s">
        <v>58</v>
      </c>
      <c r="G164" s="2" t="s">
        <v>59</v>
      </c>
      <c r="H164" s="2" t="str">
        <f>IF('P5-S6'!G14="","",'P5-S6'!G14)</f>
        <v>Not Started</v>
      </c>
      <c r="I164" s="2" t="str">
        <f>IF('P5-S6'!H14="","",'P5-S6'!H14)</f>
        <v>Not Started</v>
      </c>
      <c r="J164" s="2" t="str">
        <f>IF('P5-S6'!I14="","",'P5-S6'!I14)</f>
        <v>Not Started</v>
      </c>
      <c r="K164" s="2" t="str">
        <f>IF('P5-S6'!J14="","",'P5-S6'!J14)</f>
        <v>Not Deployed</v>
      </c>
      <c r="L164" s="2" t="str">
        <f>IF('P5-S6'!K14="","",'P5-S6'!K14)</f>
        <v>Not Deployed</v>
      </c>
      <c r="M164" s="7" t="str">
        <f>IF('P5-S6'!L14="","",'P5-S6'!L14)</f>
        <v/>
      </c>
      <c r="N164" s="2" t="str">
        <f>IF('P5-S6'!M14="","",'P5-S6'!M14)</f>
        <v/>
      </c>
      <c r="O164" s="6" t="str">
        <f>IF('P5-S6'!N14="","",'P5-S6'!N14)</f>
        <v/>
      </c>
    </row>
    <row r="165" spans="1:15" ht="25.5" customHeight="1">
      <c r="A165" s="2">
        <v>163</v>
      </c>
      <c r="B165" s="2" t="s">
        <v>35</v>
      </c>
      <c r="C165" s="6" t="s">
        <v>267</v>
      </c>
      <c r="D165" s="6" t="s">
        <v>273</v>
      </c>
      <c r="E165" s="2" t="s">
        <v>269</v>
      </c>
      <c r="F165" s="2" t="s">
        <v>65</v>
      </c>
      <c r="G165" s="2" t="s">
        <v>59</v>
      </c>
      <c r="H165" s="2" t="str">
        <f>IF('P5-S6'!G15="","",'P5-S6'!G15)</f>
        <v>Not Started</v>
      </c>
      <c r="I165" s="2" t="str">
        <f>IF('P5-S6'!H15="","",'P5-S6'!H15)</f>
        <v>Not Started</v>
      </c>
      <c r="J165" s="2" t="str">
        <f>IF('P5-S6'!I15="","",'P5-S6'!I15)</f>
        <v>Not Started</v>
      </c>
      <c r="K165" s="2" t="str">
        <f>IF('P5-S6'!J15="","",'P5-S6'!J15)</f>
        <v>Not Deployed</v>
      </c>
      <c r="L165" s="2" t="str">
        <f>IF('P5-S6'!K15="","",'P5-S6'!K15)</f>
        <v>Not Deployed</v>
      </c>
      <c r="M165" s="7" t="str">
        <f>IF('P5-S6'!L15="","",'P5-S6'!L15)</f>
        <v/>
      </c>
      <c r="N165" s="2" t="str">
        <f>IF('P5-S6'!M15="","",'P5-S6'!M15)</f>
        <v/>
      </c>
      <c r="O165" s="6" t="str">
        <f>IF('P5-S6'!N15="","",'P5-S6'!N15)</f>
        <v/>
      </c>
    </row>
    <row r="166" spans="1:15" ht="25.5" customHeight="1">
      <c r="A166" s="2">
        <v>164</v>
      </c>
      <c r="B166" s="2" t="s">
        <v>35</v>
      </c>
      <c r="C166" s="6" t="s">
        <v>267</v>
      </c>
      <c r="D166" s="6" t="s">
        <v>274</v>
      </c>
      <c r="E166" s="2" t="s">
        <v>269</v>
      </c>
      <c r="F166" s="2" t="s">
        <v>65</v>
      </c>
      <c r="G166" s="2" t="s">
        <v>59</v>
      </c>
      <c r="H166" s="2" t="str">
        <f>IF('P5-S6'!G16="","",'P5-S6'!G16)</f>
        <v>Not Started</v>
      </c>
      <c r="I166" s="2" t="str">
        <f>IF('P5-S6'!H16="","",'P5-S6'!H16)</f>
        <v>Not Started</v>
      </c>
      <c r="J166" s="2" t="str">
        <f>IF('P5-S6'!I16="","",'P5-S6'!I16)</f>
        <v>Not Started</v>
      </c>
      <c r="K166" s="2" t="str">
        <f>IF('P5-S6'!J16="","",'P5-S6'!J16)</f>
        <v>Not Deployed</v>
      </c>
      <c r="L166" s="2" t="str">
        <f>IF('P5-S6'!K16="","",'P5-S6'!K16)</f>
        <v>Not Deployed</v>
      </c>
      <c r="M166" s="7" t="str">
        <f>IF('P5-S6'!L16="","",'P5-S6'!L16)</f>
        <v/>
      </c>
      <c r="N166" s="2" t="str">
        <f>IF('P5-S6'!M16="","",'P5-S6'!M16)</f>
        <v/>
      </c>
      <c r="O166" s="6" t="str">
        <f>IF('P5-S6'!N16="","",'P5-S6'!N16)</f>
        <v/>
      </c>
    </row>
    <row r="167" spans="1:15" ht="25.5" customHeight="1">
      <c r="A167" s="2">
        <v>165</v>
      </c>
      <c r="B167" s="2" t="s">
        <v>35</v>
      </c>
      <c r="C167" s="6" t="s">
        <v>267</v>
      </c>
      <c r="D167" s="6" t="s">
        <v>275</v>
      </c>
      <c r="E167" s="2" t="s">
        <v>276</v>
      </c>
      <c r="F167" s="2" t="s">
        <v>58</v>
      </c>
      <c r="G167" s="2" t="s">
        <v>59</v>
      </c>
      <c r="H167" s="2" t="str">
        <f>IF('P5-S6'!G17="","",'P5-S6'!G17)</f>
        <v>Not Started</v>
      </c>
      <c r="I167" s="2" t="str">
        <f>IF('P5-S6'!H17="","",'P5-S6'!H17)</f>
        <v>Not Started</v>
      </c>
      <c r="J167" s="2" t="str">
        <f>IF('P5-S6'!I17="","",'P5-S6'!I17)</f>
        <v>Not Started</v>
      </c>
      <c r="K167" s="2" t="str">
        <f>IF('P5-S6'!J17="","",'P5-S6'!J17)</f>
        <v>Not Deployed</v>
      </c>
      <c r="L167" s="2" t="str">
        <f>IF('P5-S6'!K17="","",'P5-S6'!K17)</f>
        <v>Not Deployed</v>
      </c>
      <c r="M167" s="7" t="str">
        <f>IF('P5-S6'!L17="","",'P5-S6'!L17)</f>
        <v/>
      </c>
      <c r="N167" s="2" t="str">
        <f>IF('P5-S6'!M17="","",'P5-S6'!M17)</f>
        <v/>
      </c>
      <c r="O167" s="6" t="str">
        <f>IF('P5-S6'!N17="","",'P5-S6'!N17)</f>
        <v/>
      </c>
    </row>
    <row r="168" spans="1:15" ht="25.5" customHeight="1">
      <c r="A168" s="2">
        <v>166</v>
      </c>
      <c r="B168" s="2" t="s">
        <v>35</v>
      </c>
      <c r="C168" s="6" t="s">
        <v>277</v>
      </c>
      <c r="D168" s="6" t="s">
        <v>278</v>
      </c>
      <c r="E168" s="2" t="s">
        <v>254</v>
      </c>
      <c r="F168" s="2" t="s">
        <v>58</v>
      </c>
      <c r="G168" s="2" t="s">
        <v>59</v>
      </c>
      <c r="H168" s="2" t="str">
        <f>IF('P5-S6'!G18="","",'P5-S6'!G18)</f>
        <v>Not Started</v>
      </c>
      <c r="I168" s="2" t="str">
        <f>IF('P5-S6'!H18="","",'P5-S6'!H18)</f>
        <v>Not Started</v>
      </c>
      <c r="J168" s="2" t="str">
        <f>IF('P5-S6'!I18="","",'P5-S6'!I18)</f>
        <v>Not Started</v>
      </c>
      <c r="K168" s="2" t="str">
        <f>IF('P5-S6'!J18="","",'P5-S6'!J18)</f>
        <v>Not Deployed</v>
      </c>
      <c r="L168" s="2" t="str">
        <f>IF('P5-S6'!K18="","",'P5-S6'!K18)</f>
        <v>Not Deployed</v>
      </c>
      <c r="M168" s="7" t="str">
        <f>IF('P5-S6'!L18="","",'P5-S6'!L18)</f>
        <v/>
      </c>
      <c r="N168" s="2" t="str">
        <f>IF('P5-S6'!M18="","",'P5-S6'!M18)</f>
        <v/>
      </c>
      <c r="O168" s="6" t="str">
        <f>IF('P5-S6'!N18="","",'P5-S6'!N18)</f>
        <v/>
      </c>
    </row>
    <row r="169" spans="1:15" ht="25.5" customHeight="1">
      <c r="A169" s="2">
        <v>167</v>
      </c>
      <c r="B169" s="2" t="s">
        <v>35</v>
      </c>
      <c r="C169" s="6" t="s">
        <v>277</v>
      </c>
      <c r="D169" s="6" t="s">
        <v>279</v>
      </c>
      <c r="E169" s="2" t="s">
        <v>269</v>
      </c>
      <c r="F169" s="2" t="s">
        <v>58</v>
      </c>
      <c r="G169" s="2" t="s">
        <v>59</v>
      </c>
      <c r="H169" s="2" t="str">
        <f>IF('P5-S6'!G19="","",'P5-S6'!G19)</f>
        <v>Not Started</v>
      </c>
      <c r="I169" s="2" t="str">
        <f>IF('P5-S6'!H19="","",'P5-S6'!H19)</f>
        <v>Not Started</v>
      </c>
      <c r="J169" s="2" t="str">
        <f>IF('P5-S6'!I19="","",'P5-S6'!I19)</f>
        <v>Not Started</v>
      </c>
      <c r="K169" s="2" t="str">
        <f>IF('P5-S6'!J19="","",'P5-S6'!J19)</f>
        <v>Not Deployed</v>
      </c>
      <c r="L169" s="2" t="str">
        <f>IF('P5-S6'!K19="","",'P5-S6'!K19)</f>
        <v>Not Deployed</v>
      </c>
      <c r="M169" s="7" t="str">
        <f>IF('P5-S6'!L19="","",'P5-S6'!L19)</f>
        <v/>
      </c>
      <c r="N169" s="2" t="str">
        <f>IF('P5-S6'!M19="","",'P5-S6'!M19)</f>
        <v/>
      </c>
      <c r="O169" s="6" t="str">
        <f>IF('P5-S6'!N19="","",'P5-S6'!N19)</f>
        <v/>
      </c>
    </row>
    <row r="170" spans="1:15" ht="25.5" customHeight="1">
      <c r="A170" s="2">
        <v>168</v>
      </c>
      <c r="B170" s="2" t="s">
        <v>35</v>
      </c>
      <c r="C170" s="6" t="s">
        <v>277</v>
      </c>
      <c r="D170" s="6" t="s">
        <v>280</v>
      </c>
      <c r="E170" s="2" t="s">
        <v>254</v>
      </c>
      <c r="F170" s="2" t="s">
        <v>58</v>
      </c>
      <c r="G170" s="2" t="s">
        <v>59</v>
      </c>
      <c r="H170" s="2" t="str">
        <f>IF('P5-S6'!G20="","",'P5-S6'!G20)</f>
        <v>Not Started</v>
      </c>
      <c r="I170" s="2" t="str">
        <f>IF('P5-S6'!H20="","",'P5-S6'!H20)</f>
        <v>Not Started</v>
      </c>
      <c r="J170" s="2" t="str">
        <f>IF('P5-S6'!I20="","",'P5-S6'!I20)</f>
        <v>Not Started</v>
      </c>
      <c r="K170" s="2" t="str">
        <f>IF('P5-S6'!J20="","",'P5-S6'!J20)</f>
        <v>Not Deployed</v>
      </c>
      <c r="L170" s="2" t="str">
        <f>IF('P5-S6'!K20="","",'P5-S6'!K20)</f>
        <v>Not Deployed</v>
      </c>
      <c r="M170" s="7" t="str">
        <f>IF('P5-S6'!L20="","",'P5-S6'!L20)</f>
        <v/>
      </c>
      <c r="N170" s="2" t="str">
        <f>IF('P5-S6'!M20="","",'P5-S6'!M20)</f>
        <v/>
      </c>
      <c r="O170" s="6" t="str">
        <f>IF('P5-S6'!N20="","",'P5-S6'!N20)</f>
        <v/>
      </c>
    </row>
    <row r="171" spans="1:15" ht="25.5" customHeight="1">
      <c r="A171" s="2">
        <v>169</v>
      </c>
      <c r="B171" s="2" t="s">
        <v>35</v>
      </c>
      <c r="C171" s="6" t="s">
        <v>277</v>
      </c>
      <c r="D171" s="6" t="s">
        <v>281</v>
      </c>
      <c r="E171" s="2" t="s">
        <v>254</v>
      </c>
      <c r="F171" s="2" t="s">
        <v>58</v>
      </c>
      <c r="G171" s="2" t="s">
        <v>59</v>
      </c>
      <c r="H171" s="2" t="str">
        <f>IF('P5-S6'!G21="","",'P5-S6'!G21)</f>
        <v>Not Started</v>
      </c>
      <c r="I171" s="2" t="str">
        <f>IF('P5-S6'!H21="","",'P5-S6'!H21)</f>
        <v>Not Started</v>
      </c>
      <c r="J171" s="2" t="str">
        <f>IF('P5-S6'!I21="","",'P5-S6'!I21)</f>
        <v>Not Started</v>
      </c>
      <c r="K171" s="2" t="str">
        <f>IF('P5-S6'!J21="","",'P5-S6'!J21)</f>
        <v>Not Deployed</v>
      </c>
      <c r="L171" s="2" t="str">
        <f>IF('P5-S6'!K21="","",'P5-S6'!K21)</f>
        <v>Not Deployed</v>
      </c>
      <c r="M171" s="7" t="str">
        <f>IF('P5-S6'!L21="","",'P5-S6'!L21)</f>
        <v/>
      </c>
      <c r="N171" s="2" t="str">
        <f>IF('P5-S6'!M21="","",'P5-S6'!M21)</f>
        <v/>
      </c>
      <c r="O171" s="6" t="str">
        <f>IF('P5-S6'!N21="","",'P5-S6'!N21)</f>
        <v/>
      </c>
    </row>
    <row r="172" spans="1:15" ht="25.5" customHeight="1">
      <c r="A172" s="2">
        <v>170</v>
      </c>
      <c r="B172" s="2" t="s">
        <v>35</v>
      </c>
      <c r="C172" s="6" t="s">
        <v>277</v>
      </c>
      <c r="D172" s="6" t="s">
        <v>282</v>
      </c>
      <c r="E172" s="2" t="s">
        <v>57</v>
      </c>
      <c r="F172" s="2" t="s">
        <v>58</v>
      </c>
      <c r="G172" s="2" t="s">
        <v>59</v>
      </c>
      <c r="H172" s="2" t="str">
        <f>IF('P5-S6'!G22="","",'P5-S6'!G22)</f>
        <v>Not Started</v>
      </c>
      <c r="I172" s="2" t="str">
        <f>IF('P5-S6'!H22="","",'P5-S6'!H22)</f>
        <v>Not Started</v>
      </c>
      <c r="J172" s="2" t="str">
        <f>IF('P5-S6'!I22="","",'P5-S6'!I22)</f>
        <v>Not Started</v>
      </c>
      <c r="K172" s="2" t="str">
        <f>IF('P5-S6'!J22="","",'P5-S6'!J22)</f>
        <v>Not Deployed</v>
      </c>
      <c r="L172" s="2" t="str">
        <f>IF('P5-S6'!K22="","",'P5-S6'!K22)</f>
        <v>Not Deployed</v>
      </c>
      <c r="M172" s="7" t="str">
        <f>IF('P5-S6'!L22="","",'P5-S6'!L22)</f>
        <v/>
      </c>
      <c r="N172" s="2" t="str">
        <f>IF('P5-S6'!M22="","",'P5-S6'!M22)</f>
        <v/>
      </c>
      <c r="O172" s="6" t="str">
        <f>IF('P5-S6'!N22="","",'P5-S6'!N22)</f>
        <v/>
      </c>
    </row>
    <row r="173" spans="1:15" ht="25.5" customHeight="1">
      <c r="A173" s="2">
        <v>171</v>
      </c>
      <c r="B173" s="2" t="s">
        <v>35</v>
      </c>
      <c r="C173" s="6" t="s">
        <v>277</v>
      </c>
      <c r="D173" s="6" t="s">
        <v>283</v>
      </c>
      <c r="E173" s="2" t="s">
        <v>254</v>
      </c>
      <c r="F173" s="2" t="s">
        <v>58</v>
      </c>
      <c r="G173" s="2" t="s">
        <v>59</v>
      </c>
      <c r="H173" s="2" t="str">
        <f>IF('P5-S6'!G23="","",'P5-S6'!G23)</f>
        <v>Not Started</v>
      </c>
      <c r="I173" s="2" t="str">
        <f>IF('P5-S6'!H23="","",'P5-S6'!H23)</f>
        <v>Not Started</v>
      </c>
      <c r="J173" s="2" t="str">
        <f>IF('P5-S6'!I23="","",'P5-S6'!I23)</f>
        <v>Not Started</v>
      </c>
      <c r="K173" s="2" t="str">
        <f>IF('P5-S6'!J23="","",'P5-S6'!J23)</f>
        <v>Not Deployed</v>
      </c>
      <c r="L173" s="2" t="str">
        <f>IF('P5-S6'!K23="","",'P5-S6'!K23)</f>
        <v>Not Deployed</v>
      </c>
      <c r="M173" s="7" t="str">
        <f>IF('P5-S6'!L23="","",'P5-S6'!L23)</f>
        <v/>
      </c>
      <c r="N173" s="2" t="str">
        <f>IF('P5-S6'!M23="","",'P5-S6'!M23)</f>
        <v/>
      </c>
      <c r="O173" s="6" t="str">
        <f>IF('P5-S6'!N23="","",'P5-S6'!N23)</f>
        <v/>
      </c>
    </row>
    <row r="174" spans="1:15" ht="25.5" customHeight="1">
      <c r="A174" s="2">
        <v>172</v>
      </c>
      <c r="B174" s="2" t="s">
        <v>35</v>
      </c>
      <c r="C174" s="6" t="s">
        <v>277</v>
      </c>
      <c r="D174" s="6" t="s">
        <v>284</v>
      </c>
      <c r="E174" s="2" t="s">
        <v>285</v>
      </c>
      <c r="F174" s="2" t="s">
        <v>58</v>
      </c>
      <c r="G174" s="2" t="s">
        <v>59</v>
      </c>
      <c r="H174" s="2" t="str">
        <f>IF('P5-S6'!G24="","",'P5-S6'!G24)</f>
        <v>Not Started</v>
      </c>
      <c r="I174" s="2" t="str">
        <f>IF('P5-S6'!H24="","",'P5-S6'!H24)</f>
        <v>Not Started</v>
      </c>
      <c r="J174" s="2" t="str">
        <f>IF('P5-S6'!I24="","",'P5-S6'!I24)</f>
        <v>Not Started</v>
      </c>
      <c r="K174" s="2" t="str">
        <f>IF('P5-S6'!J24="","",'P5-S6'!J24)</f>
        <v>Not Deployed</v>
      </c>
      <c r="L174" s="2" t="str">
        <f>IF('P5-S6'!K24="","",'P5-S6'!K24)</f>
        <v>Not Deployed</v>
      </c>
      <c r="M174" s="7" t="str">
        <f>IF('P5-S6'!L24="","",'P5-S6'!L24)</f>
        <v/>
      </c>
      <c r="N174" s="2" t="str">
        <f>IF('P5-S6'!M24="","",'P5-S6'!M24)</f>
        <v/>
      </c>
      <c r="O174" s="6" t="str">
        <f>IF('P5-S6'!N24="","",'P5-S6'!N24)</f>
        <v/>
      </c>
    </row>
    <row r="175" spans="1:15" ht="25.5" customHeight="1">
      <c r="A175" s="2">
        <v>173</v>
      </c>
      <c r="B175" s="2" t="s">
        <v>35</v>
      </c>
      <c r="C175" s="6" t="s">
        <v>277</v>
      </c>
      <c r="D175" s="6" t="s">
        <v>286</v>
      </c>
      <c r="E175" s="2" t="s">
        <v>287</v>
      </c>
      <c r="F175" s="2" t="s">
        <v>58</v>
      </c>
      <c r="G175" s="2" t="s">
        <v>59</v>
      </c>
      <c r="H175" s="2" t="str">
        <f>IF('P5-S6'!G25="","",'P5-S6'!G25)</f>
        <v>Not Started</v>
      </c>
      <c r="I175" s="2" t="str">
        <f>IF('P5-S6'!H25="","",'P5-S6'!H25)</f>
        <v>Not Started</v>
      </c>
      <c r="J175" s="2" t="str">
        <f>IF('P5-S6'!I25="","",'P5-S6'!I25)</f>
        <v>Not Started</v>
      </c>
      <c r="K175" s="2" t="str">
        <f>IF('P5-S6'!J25="","",'P5-S6'!J25)</f>
        <v>Not Deployed</v>
      </c>
      <c r="L175" s="2" t="str">
        <f>IF('P5-S6'!K25="","",'P5-S6'!K25)</f>
        <v>Not Deployed</v>
      </c>
      <c r="M175" s="7" t="str">
        <f>IF('P5-S6'!L25="","",'P5-S6'!L25)</f>
        <v/>
      </c>
      <c r="N175" s="2" t="str">
        <f>IF('P5-S6'!M25="","",'P5-S6'!M25)</f>
        <v/>
      </c>
      <c r="O175" s="6" t="str">
        <f>IF('P5-S6'!N25="","",'P5-S6'!N25)</f>
        <v/>
      </c>
    </row>
    <row r="176" spans="1:15" ht="25.5" customHeight="1">
      <c r="A176" s="2">
        <v>174</v>
      </c>
      <c r="B176" s="2" t="s">
        <v>35</v>
      </c>
      <c r="C176" s="6" t="s">
        <v>277</v>
      </c>
      <c r="D176" s="6" t="s">
        <v>288</v>
      </c>
      <c r="E176" s="2" t="s">
        <v>289</v>
      </c>
      <c r="F176" s="2" t="s">
        <v>58</v>
      </c>
      <c r="G176" s="2" t="s">
        <v>59</v>
      </c>
      <c r="H176" s="2" t="str">
        <f>IF('P5-S6'!G26="","",'P5-S6'!G26)</f>
        <v>Not Started</v>
      </c>
      <c r="I176" s="2" t="str">
        <f>IF('P5-S6'!H26="","",'P5-S6'!H26)</f>
        <v>Not Started</v>
      </c>
      <c r="J176" s="2" t="str">
        <f>IF('P5-S6'!I26="","",'P5-S6'!I26)</f>
        <v>Not Started</v>
      </c>
      <c r="K176" s="2" t="str">
        <f>IF('P5-S6'!J26="","",'P5-S6'!J26)</f>
        <v>Not Deployed</v>
      </c>
      <c r="L176" s="2" t="str">
        <f>IF('P5-S6'!K26="","",'P5-S6'!K26)</f>
        <v>Not Deployed</v>
      </c>
      <c r="M176" s="7" t="str">
        <f>IF('P5-S6'!L26="","",'P5-S6'!L26)</f>
        <v/>
      </c>
      <c r="N176" s="2" t="str">
        <f>IF('P5-S6'!M26="","",'P5-S6'!M26)</f>
        <v/>
      </c>
      <c r="O176" s="6" t="str">
        <f>IF('P5-S6'!N26="","",'P5-S6'!N26)</f>
        <v/>
      </c>
    </row>
    <row r="177" spans="1:15" ht="25.5" customHeight="1">
      <c r="A177" s="2">
        <v>175</v>
      </c>
      <c r="B177" s="2" t="s">
        <v>35</v>
      </c>
      <c r="C177" s="6" t="s">
        <v>277</v>
      </c>
      <c r="D177" s="6" t="s">
        <v>290</v>
      </c>
      <c r="E177" s="2" t="s">
        <v>291</v>
      </c>
      <c r="F177" s="2" t="s">
        <v>58</v>
      </c>
      <c r="G177" s="2" t="s">
        <v>68</v>
      </c>
      <c r="H177" s="2" t="str">
        <f>IF('P5-S6'!G27="","",'P5-S6'!G27)</f>
        <v>Not Started</v>
      </c>
      <c r="I177" s="2" t="str">
        <f>IF('P5-S6'!H27="","",'P5-S6'!H27)</f>
        <v>Not Started</v>
      </c>
      <c r="J177" s="2" t="str">
        <f>IF('P5-S6'!I27="","",'P5-S6'!I27)</f>
        <v>Not Started</v>
      </c>
      <c r="K177" s="2" t="str">
        <f>IF('P5-S6'!J27="","",'P5-S6'!J27)</f>
        <v>Not Deployed</v>
      </c>
      <c r="L177" s="2" t="str">
        <f>IF('P5-S6'!K27="","",'P5-S6'!K27)</f>
        <v>Not Deployed</v>
      </c>
      <c r="M177" s="7" t="str">
        <f>IF('P5-S6'!L27="","",'P5-S6'!L27)</f>
        <v/>
      </c>
      <c r="N177" s="2" t="str">
        <f>IF('P5-S6'!M27="","",'P5-S6'!M27)</f>
        <v/>
      </c>
      <c r="O177" s="6" t="str">
        <f>IF('P5-S6'!N27="","",'P5-S6'!N27)</f>
        <v/>
      </c>
    </row>
    <row r="178" spans="1:15" ht="25.5" customHeight="1">
      <c r="A178" s="2">
        <v>176</v>
      </c>
      <c r="B178" s="2" t="s">
        <v>35</v>
      </c>
      <c r="C178" s="6" t="s">
        <v>277</v>
      </c>
      <c r="D178" s="6" t="s">
        <v>292</v>
      </c>
      <c r="E178" s="2" t="s">
        <v>291</v>
      </c>
      <c r="F178" s="2" t="s">
        <v>58</v>
      </c>
      <c r="G178" s="2" t="s">
        <v>59</v>
      </c>
      <c r="H178" s="2" t="str">
        <f>IF('P5-S6'!G28="","",'P5-S6'!G28)</f>
        <v>Not Started</v>
      </c>
      <c r="I178" s="2" t="str">
        <f>IF('P5-S6'!H28="","",'P5-S6'!H28)</f>
        <v>Not Started</v>
      </c>
      <c r="J178" s="2" t="str">
        <f>IF('P5-S6'!I28="","",'P5-S6'!I28)</f>
        <v>Not Started</v>
      </c>
      <c r="K178" s="2" t="str">
        <f>IF('P5-S6'!J28="","",'P5-S6'!J28)</f>
        <v>Not Deployed</v>
      </c>
      <c r="L178" s="2" t="str">
        <f>IF('P5-S6'!K28="","",'P5-S6'!K28)</f>
        <v>Not Deployed</v>
      </c>
      <c r="M178" s="7" t="str">
        <f>IF('P5-S6'!L28="","",'P5-S6'!L28)</f>
        <v/>
      </c>
      <c r="N178" s="2" t="str">
        <f>IF('P5-S6'!M28="","",'P5-S6'!M28)</f>
        <v/>
      </c>
      <c r="O178" s="6" t="str">
        <f>IF('P5-S6'!N28="","",'P5-S6'!N28)</f>
        <v/>
      </c>
    </row>
    <row r="179" spans="1:15" ht="25.5" customHeight="1">
      <c r="A179" s="2">
        <v>177</v>
      </c>
      <c r="B179" s="2" t="s">
        <v>35</v>
      </c>
      <c r="C179" s="6" t="s">
        <v>277</v>
      </c>
      <c r="D179" s="6" t="s">
        <v>293</v>
      </c>
      <c r="E179" s="2" t="s">
        <v>291</v>
      </c>
      <c r="F179" s="2" t="s">
        <v>58</v>
      </c>
      <c r="G179" s="2" t="s">
        <v>59</v>
      </c>
      <c r="H179" s="2" t="str">
        <f>IF('P5-S6'!G29="","",'P5-S6'!G29)</f>
        <v>Not Started</v>
      </c>
      <c r="I179" s="2" t="str">
        <f>IF('P5-S6'!H29="","",'P5-S6'!H29)</f>
        <v>Not Started</v>
      </c>
      <c r="J179" s="2" t="str">
        <f>IF('P5-S6'!I29="","",'P5-S6'!I29)</f>
        <v>Not Started</v>
      </c>
      <c r="K179" s="2" t="str">
        <f>IF('P5-S6'!J29="","",'P5-S6'!J29)</f>
        <v>Not Deployed</v>
      </c>
      <c r="L179" s="2" t="str">
        <f>IF('P5-S6'!K29="","",'P5-S6'!K29)</f>
        <v>Not Deployed</v>
      </c>
      <c r="M179" s="7" t="str">
        <f>IF('P5-S6'!L29="","",'P5-S6'!L29)</f>
        <v/>
      </c>
      <c r="N179" s="2" t="str">
        <f>IF('P5-S6'!M29="","",'P5-S6'!M29)</f>
        <v/>
      </c>
      <c r="O179" s="6" t="str">
        <f>IF('P5-S6'!N29="","",'P5-S6'!N29)</f>
        <v/>
      </c>
    </row>
  </sheetData>
  <autoFilter ref="A2:O179" xr:uid="{00000000-0009-0000-0000-000001000000}"/>
  <mergeCells count="1">
    <mergeCell ref="A1:O1"/>
  </mergeCells>
  <conditionalFormatting sqref="H3:I179">
    <cfRule type="cellIs" dxfId="165" priority="2" operator="equal">
      <formula>"Completed"</formula>
    </cfRule>
    <cfRule type="cellIs" dxfId="164" priority="3" operator="equal">
      <formula>"In Progress"</formula>
    </cfRule>
    <cfRule type="cellIs" dxfId="163" priority="4" operator="equal">
      <formula>"Dev Complete"</formula>
    </cfRule>
    <cfRule type="cellIs" dxfId="162" priority="5" operator="equal">
      <formula>"Code Review"</formula>
    </cfRule>
    <cfRule type="cellIs" dxfId="161" priority="6" operator="equal">
      <formula>"Blocked"</formula>
    </cfRule>
    <cfRule type="cellIs" dxfId="160" priority="7" operator="equal">
      <formula>"On Hold"</formula>
    </cfRule>
    <cfRule type="cellIs" dxfId="159" priority="8" operator="equal">
      <formula>"Not Applicable"</formula>
    </cfRule>
  </conditionalFormatting>
  <conditionalFormatting sqref="J3:J179">
    <cfRule type="cellIs" dxfId="158" priority="9" operator="equal">
      <formula>"Passed"</formula>
    </cfRule>
    <cfRule type="cellIs" dxfId="157" priority="10" operator="equal">
      <formula>"In Progress"</formula>
    </cfRule>
    <cfRule type="cellIs" dxfId="156" priority="11" operator="equal">
      <formula>"Re-Test"</formula>
    </cfRule>
    <cfRule type="cellIs" dxfId="155" priority="12" operator="equal">
      <formula>"Failed"</formula>
    </cfRule>
    <cfRule type="cellIs" dxfId="154" priority="13" operator="equal">
      <formula>"Blocked"</formula>
    </cfRule>
    <cfRule type="cellIs" dxfId="153" priority="14" operator="equal">
      <formula>"Not Applicable"</formula>
    </cfRule>
  </conditionalFormatting>
  <conditionalFormatting sqref="K3:L179">
    <cfRule type="cellIs" dxfId="152" priority="15" operator="equal">
      <formula>"Deployed"</formula>
    </cfRule>
    <cfRule type="cellIs" dxfId="151" priority="16" operator="equal">
      <formula>"Verified"</formula>
    </cfRule>
    <cfRule type="cellIs" dxfId="150" priority="17" operator="equal">
      <formula>"Ready for Deploy"</formula>
    </cfRule>
    <cfRule type="cellIs" dxfId="149" priority="18" operator="equal">
      <formula>"Deploy Failed"</formula>
    </cfRule>
    <cfRule type="cellIs" dxfId="148" priority="19" operator="equal">
      <formula>"Rolled Back"</formula>
    </cfRule>
    <cfRule type="cellIs" dxfId="147" priority="20" operator="equal">
      <formula>"Not Applicable"</formula>
    </cfRule>
  </conditionalFormatting>
  <conditionalFormatting sqref="G3:G179">
    <cfRule type="cellIs" dxfId="146" priority="21" operator="equal">
      <formula>"High"</formula>
    </cfRule>
    <cfRule type="cellIs" dxfId="145" priority="22" operator="equal">
      <formula>"Medium"</formula>
    </cfRule>
    <cfRule type="cellIs" dxfId="144" priority="23" operator="equal">
      <formula>"Low"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4"/>
  <sheetViews>
    <sheetView showGridLines="0" zoomScaleNormal="100" workbookViewId="0">
      <pane xSplit="3" ySplit="2" topLeftCell="D4" activePane="bottomRight" state="frozen"/>
      <selection pane="bottomRight" activeCell="F28" sqref="F28"/>
      <selection pane="bottomLeft" activeCell="A20" sqref="A20"/>
      <selection pane="topRight" activeCell="D1" sqref="D1"/>
    </sheetView>
  </sheetViews>
  <sheetFormatPr defaultColWidth="8.7109375" defaultRowHeight="15"/>
  <cols>
    <col min="1" max="1" width="6" customWidth="1"/>
    <col min="2" max="2" width="28" customWidth="1"/>
    <col min="3" max="3" width="48" customWidth="1"/>
    <col min="4" max="4" width="21.28515625" customWidth="1"/>
    <col min="5" max="5" width="12" customWidth="1"/>
    <col min="6" max="6" width="10" customWidth="1"/>
    <col min="7" max="8" width="15" customWidth="1"/>
    <col min="9" max="9" width="14" customWidth="1"/>
    <col min="10" max="12" width="16" customWidth="1"/>
    <col min="13" max="13" width="13" customWidth="1"/>
    <col min="14" max="14" width="38" customWidth="1"/>
  </cols>
  <sheetData>
    <row r="1" spans="1:14" ht="24" customHeight="1">
      <c r="A1" s="17" t="s">
        <v>294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27.75" customHeight="1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</row>
    <row r="3" spans="1:14" ht="25.5" customHeight="1">
      <c r="A3" s="2">
        <v>1</v>
      </c>
      <c r="B3" s="6" t="s">
        <v>55</v>
      </c>
      <c r="C3" s="6" t="s">
        <v>56</v>
      </c>
      <c r="D3" s="2" t="s">
        <v>57</v>
      </c>
      <c r="E3" s="2" t="s">
        <v>58</v>
      </c>
      <c r="F3" s="2" t="s">
        <v>59</v>
      </c>
      <c r="G3" s="8" t="s">
        <v>295</v>
      </c>
      <c r="H3" s="8" t="s">
        <v>295</v>
      </c>
      <c r="I3" s="8" t="s">
        <v>296</v>
      </c>
      <c r="J3" s="8" t="s">
        <v>297</v>
      </c>
      <c r="K3" s="8" t="s">
        <v>298</v>
      </c>
      <c r="L3" s="9" t="s">
        <v>299</v>
      </c>
      <c r="M3" s="8"/>
      <c r="N3" s="10"/>
    </row>
    <row r="4" spans="1:14" ht="25.5" customHeight="1">
      <c r="A4" s="2">
        <v>2</v>
      </c>
      <c r="B4" s="6" t="s">
        <v>55</v>
      </c>
      <c r="C4" s="6" t="s">
        <v>60</v>
      </c>
      <c r="D4" s="2" t="s">
        <v>57</v>
      </c>
      <c r="E4" s="2" t="s">
        <v>58</v>
      </c>
      <c r="F4" s="2" t="s">
        <v>59</v>
      </c>
      <c r="G4" s="8" t="s">
        <v>295</v>
      </c>
      <c r="H4" s="8" t="s">
        <v>295</v>
      </c>
      <c r="I4" s="8" t="s">
        <v>296</v>
      </c>
      <c r="J4" s="8" t="s">
        <v>297</v>
      </c>
      <c r="K4" s="8" t="s">
        <v>298</v>
      </c>
      <c r="L4" s="9" t="s">
        <v>299</v>
      </c>
      <c r="M4" s="8"/>
      <c r="N4" s="10"/>
    </row>
    <row r="5" spans="1:14" ht="25.5" customHeight="1">
      <c r="A5" s="2">
        <v>3</v>
      </c>
      <c r="B5" s="6" t="s">
        <v>55</v>
      </c>
      <c r="C5" s="6" t="s">
        <v>61</v>
      </c>
      <c r="D5" s="2" t="s">
        <v>57</v>
      </c>
      <c r="E5" s="2" t="s">
        <v>58</v>
      </c>
      <c r="F5" s="2" t="s">
        <v>59</v>
      </c>
      <c r="G5" s="8" t="s">
        <v>295</v>
      </c>
      <c r="H5" s="8" t="s">
        <v>295</v>
      </c>
      <c r="I5" s="8" t="s">
        <v>296</v>
      </c>
      <c r="J5" s="8" t="s">
        <v>297</v>
      </c>
      <c r="K5" s="8" t="s">
        <v>298</v>
      </c>
      <c r="L5" s="9" t="s">
        <v>299</v>
      </c>
      <c r="M5" s="8"/>
      <c r="N5" s="10"/>
    </row>
    <row r="6" spans="1:14" ht="25.5" customHeight="1">
      <c r="A6" s="2">
        <v>4</v>
      </c>
      <c r="B6" s="6" t="s">
        <v>55</v>
      </c>
      <c r="C6" s="6" t="s">
        <v>62</v>
      </c>
      <c r="D6" s="2" t="s">
        <v>57</v>
      </c>
      <c r="E6" s="2" t="s">
        <v>58</v>
      </c>
      <c r="F6" s="2" t="s">
        <v>59</v>
      </c>
      <c r="G6" s="8" t="s">
        <v>295</v>
      </c>
      <c r="H6" s="8" t="s">
        <v>295</v>
      </c>
      <c r="I6" s="8" t="s">
        <v>296</v>
      </c>
      <c r="J6" s="8" t="s">
        <v>297</v>
      </c>
      <c r="K6" s="8" t="s">
        <v>298</v>
      </c>
      <c r="L6" s="9" t="s">
        <v>300</v>
      </c>
      <c r="M6" s="8"/>
      <c r="N6" s="10"/>
    </row>
    <row r="7" spans="1:14" ht="25.5" customHeight="1">
      <c r="A7" s="2">
        <v>5</v>
      </c>
      <c r="B7" s="6" t="s">
        <v>55</v>
      </c>
      <c r="C7" s="6" t="s">
        <v>63</v>
      </c>
      <c r="D7" s="2" t="s">
        <v>57</v>
      </c>
      <c r="E7" s="2" t="s">
        <v>58</v>
      </c>
      <c r="F7" s="2" t="s">
        <v>59</v>
      </c>
      <c r="G7" s="8" t="s">
        <v>295</v>
      </c>
      <c r="H7" s="8" t="s">
        <v>295</v>
      </c>
      <c r="I7" s="8" t="s">
        <v>296</v>
      </c>
      <c r="J7" s="8" t="s">
        <v>297</v>
      </c>
      <c r="K7" s="8" t="s">
        <v>298</v>
      </c>
      <c r="L7" s="9" t="s">
        <v>300</v>
      </c>
      <c r="M7" s="8"/>
      <c r="N7" s="10"/>
    </row>
    <row r="8" spans="1:14" ht="25.5" customHeight="1">
      <c r="A8" s="2">
        <v>6</v>
      </c>
      <c r="B8" s="6" t="s">
        <v>55</v>
      </c>
      <c r="C8" s="6" t="s">
        <v>64</v>
      </c>
      <c r="D8" s="2" t="s">
        <v>57</v>
      </c>
      <c r="E8" s="2" t="s">
        <v>65</v>
      </c>
      <c r="F8" s="2" t="s">
        <v>59</v>
      </c>
      <c r="G8" s="8" t="s">
        <v>295</v>
      </c>
      <c r="H8" s="8" t="s">
        <v>295</v>
      </c>
      <c r="I8" s="8" t="s">
        <v>296</v>
      </c>
      <c r="J8" s="8" t="s">
        <v>297</v>
      </c>
      <c r="K8" s="8" t="s">
        <v>298</v>
      </c>
      <c r="L8" s="9" t="s">
        <v>300</v>
      </c>
      <c r="M8" s="8"/>
      <c r="N8" s="10"/>
    </row>
    <row r="9" spans="1:14" ht="25.5" customHeight="1">
      <c r="A9" s="2">
        <v>7</v>
      </c>
      <c r="B9" s="6" t="s">
        <v>55</v>
      </c>
      <c r="C9" s="6" t="s">
        <v>66</v>
      </c>
      <c r="D9" s="2" t="s">
        <v>57</v>
      </c>
      <c r="E9" s="2" t="s">
        <v>58</v>
      </c>
      <c r="F9" s="2" t="s">
        <v>59</v>
      </c>
      <c r="G9" s="8" t="s">
        <v>295</v>
      </c>
      <c r="H9" s="8" t="s">
        <v>295</v>
      </c>
      <c r="I9" s="8" t="s">
        <v>296</v>
      </c>
      <c r="J9" s="8" t="s">
        <v>297</v>
      </c>
      <c r="K9" s="8" t="s">
        <v>298</v>
      </c>
      <c r="L9" s="9" t="s">
        <v>300</v>
      </c>
      <c r="M9" s="8"/>
      <c r="N9" s="10"/>
    </row>
    <row r="10" spans="1:14" ht="25.5" customHeight="1">
      <c r="A10" s="2">
        <v>8</v>
      </c>
      <c r="B10" s="6" t="s">
        <v>55</v>
      </c>
      <c r="C10" s="6" t="s">
        <v>67</v>
      </c>
      <c r="D10" s="2" t="s">
        <v>57</v>
      </c>
      <c r="E10" s="2" t="s">
        <v>58</v>
      </c>
      <c r="F10" s="2" t="s">
        <v>68</v>
      </c>
      <c r="G10" s="8" t="s">
        <v>295</v>
      </c>
      <c r="H10" s="8" t="s">
        <v>295</v>
      </c>
      <c r="I10" s="8" t="s">
        <v>296</v>
      </c>
      <c r="J10" s="8" t="s">
        <v>297</v>
      </c>
      <c r="K10" s="8" t="s">
        <v>298</v>
      </c>
      <c r="L10" s="9" t="s">
        <v>300</v>
      </c>
      <c r="M10" s="8"/>
      <c r="N10" s="10"/>
    </row>
    <row r="11" spans="1:14" ht="25.5" customHeight="1">
      <c r="A11" s="2">
        <v>9</v>
      </c>
      <c r="B11" s="6" t="s">
        <v>69</v>
      </c>
      <c r="C11" s="6" t="s">
        <v>70</v>
      </c>
      <c r="D11" s="2" t="s">
        <v>71</v>
      </c>
      <c r="E11" s="2" t="s">
        <v>65</v>
      </c>
      <c r="F11" s="2" t="s">
        <v>59</v>
      </c>
      <c r="G11" s="8" t="s">
        <v>295</v>
      </c>
      <c r="H11" s="8" t="s">
        <v>295</v>
      </c>
      <c r="I11" s="8" t="s">
        <v>296</v>
      </c>
      <c r="J11" s="8" t="s">
        <v>297</v>
      </c>
      <c r="K11" s="8" t="s">
        <v>298</v>
      </c>
      <c r="L11" s="9" t="s">
        <v>301</v>
      </c>
      <c r="M11" s="8"/>
      <c r="N11" s="10"/>
    </row>
    <row r="12" spans="1:14" ht="25.5" customHeight="1">
      <c r="A12" s="2">
        <v>10</v>
      </c>
      <c r="B12" s="6" t="s">
        <v>69</v>
      </c>
      <c r="C12" s="6" t="s">
        <v>72</v>
      </c>
      <c r="D12" s="2" t="s">
        <v>71</v>
      </c>
      <c r="E12" s="2" t="s">
        <v>65</v>
      </c>
      <c r="F12" s="2" t="s">
        <v>59</v>
      </c>
      <c r="G12" s="8" t="s">
        <v>295</v>
      </c>
      <c r="H12" s="8" t="s">
        <v>295</v>
      </c>
      <c r="I12" s="8" t="s">
        <v>296</v>
      </c>
      <c r="J12" s="8" t="s">
        <v>297</v>
      </c>
      <c r="K12" s="8" t="s">
        <v>298</v>
      </c>
      <c r="L12" s="9" t="s">
        <v>301</v>
      </c>
      <c r="M12" s="8"/>
      <c r="N12" s="10"/>
    </row>
    <row r="13" spans="1:14" ht="25.5" customHeight="1">
      <c r="A13" s="2">
        <v>11</v>
      </c>
      <c r="B13" s="6" t="s">
        <v>69</v>
      </c>
      <c r="C13" s="6" t="s">
        <v>73</v>
      </c>
      <c r="D13" s="2" t="s">
        <v>71</v>
      </c>
      <c r="E13" s="2" t="s">
        <v>65</v>
      </c>
      <c r="F13" s="2" t="s">
        <v>59</v>
      </c>
      <c r="G13" s="8" t="s">
        <v>295</v>
      </c>
      <c r="H13" s="8" t="s">
        <v>295</v>
      </c>
      <c r="I13" s="8" t="s">
        <v>296</v>
      </c>
      <c r="J13" s="8" t="s">
        <v>297</v>
      </c>
      <c r="K13" s="8" t="s">
        <v>298</v>
      </c>
      <c r="L13" s="9" t="s">
        <v>301</v>
      </c>
      <c r="M13" s="8"/>
      <c r="N13" s="10"/>
    </row>
    <row r="14" spans="1:14" ht="25.5" customHeight="1">
      <c r="A14" s="2">
        <v>12</v>
      </c>
      <c r="B14" s="6" t="s">
        <v>69</v>
      </c>
      <c r="C14" s="6" t="s">
        <v>74</v>
      </c>
      <c r="D14" s="2" t="s">
        <v>71</v>
      </c>
      <c r="E14" s="2" t="s">
        <v>65</v>
      </c>
      <c r="F14" s="2" t="s">
        <v>59</v>
      </c>
      <c r="G14" s="8" t="s">
        <v>295</v>
      </c>
      <c r="H14" s="8" t="s">
        <v>295</v>
      </c>
      <c r="I14" s="8" t="s">
        <v>296</v>
      </c>
      <c r="J14" s="8" t="s">
        <v>297</v>
      </c>
      <c r="K14" s="8" t="s">
        <v>298</v>
      </c>
      <c r="L14" s="9" t="s">
        <v>302</v>
      </c>
      <c r="M14" s="8"/>
      <c r="N14" s="10"/>
    </row>
    <row r="15" spans="1:14" ht="25.5" customHeight="1">
      <c r="A15" s="2">
        <v>13</v>
      </c>
      <c r="B15" s="6" t="s">
        <v>69</v>
      </c>
      <c r="C15" s="6" t="s">
        <v>75</v>
      </c>
      <c r="D15" s="2" t="s">
        <v>71</v>
      </c>
      <c r="E15" s="2" t="s">
        <v>65</v>
      </c>
      <c r="F15" s="2" t="s">
        <v>68</v>
      </c>
      <c r="G15" s="8" t="s">
        <v>295</v>
      </c>
      <c r="H15" s="8" t="s">
        <v>295</v>
      </c>
      <c r="I15" s="8" t="s">
        <v>296</v>
      </c>
      <c r="J15" s="8" t="s">
        <v>297</v>
      </c>
      <c r="K15" s="8" t="s">
        <v>298</v>
      </c>
      <c r="L15" s="9" t="s">
        <v>301</v>
      </c>
      <c r="M15" s="8"/>
      <c r="N15" s="10"/>
    </row>
    <row r="16" spans="1:14" ht="25.5" customHeight="1">
      <c r="A16" s="2">
        <v>14</v>
      </c>
      <c r="B16" s="6" t="s">
        <v>69</v>
      </c>
      <c r="C16" s="6" t="s">
        <v>76</v>
      </c>
      <c r="D16" s="2" t="s">
        <v>71</v>
      </c>
      <c r="E16" s="2" t="s">
        <v>77</v>
      </c>
      <c r="F16" s="2" t="s">
        <v>68</v>
      </c>
      <c r="G16" s="8" t="s">
        <v>295</v>
      </c>
      <c r="H16" s="8" t="s">
        <v>295</v>
      </c>
      <c r="I16" s="8" t="s">
        <v>296</v>
      </c>
      <c r="J16" s="8" t="s">
        <v>297</v>
      </c>
      <c r="K16" s="8" t="s">
        <v>298</v>
      </c>
      <c r="L16" s="9" t="s">
        <v>301</v>
      </c>
      <c r="M16" s="8"/>
      <c r="N16" s="10"/>
    </row>
    <row r="17" spans="1:14" ht="25.5" customHeight="1">
      <c r="A17" s="2">
        <v>15</v>
      </c>
      <c r="B17" s="6" t="s">
        <v>78</v>
      </c>
      <c r="C17" s="6" t="s">
        <v>79</v>
      </c>
      <c r="D17" s="2" t="s">
        <v>80</v>
      </c>
      <c r="E17" s="2" t="s">
        <v>58</v>
      </c>
      <c r="F17" s="2" t="s">
        <v>59</v>
      </c>
      <c r="G17" s="8" t="s">
        <v>295</v>
      </c>
      <c r="H17" s="8" t="s">
        <v>295</v>
      </c>
      <c r="I17" s="8" t="s">
        <v>296</v>
      </c>
      <c r="J17" s="8" t="s">
        <v>297</v>
      </c>
      <c r="K17" s="8" t="s">
        <v>298</v>
      </c>
      <c r="L17" s="9" t="s">
        <v>303</v>
      </c>
      <c r="M17" s="8"/>
      <c r="N17" s="10"/>
    </row>
    <row r="18" spans="1:14" ht="25.5" customHeight="1">
      <c r="A18" s="2">
        <v>16</v>
      </c>
      <c r="B18" s="6" t="s">
        <v>78</v>
      </c>
      <c r="C18" s="6" t="s">
        <v>81</v>
      </c>
      <c r="D18" s="2" t="s">
        <v>80</v>
      </c>
      <c r="E18" s="2" t="s">
        <v>58</v>
      </c>
      <c r="F18" s="2" t="s">
        <v>59</v>
      </c>
      <c r="G18" s="8" t="s">
        <v>295</v>
      </c>
      <c r="H18" s="8" t="s">
        <v>295</v>
      </c>
      <c r="I18" s="8" t="s">
        <v>296</v>
      </c>
      <c r="J18" s="8" t="s">
        <v>297</v>
      </c>
      <c r="K18" s="8" t="s">
        <v>298</v>
      </c>
      <c r="L18" s="9" t="s">
        <v>303</v>
      </c>
      <c r="M18" s="8"/>
      <c r="N18" s="10"/>
    </row>
    <row r="19" spans="1:14" ht="25.5" customHeight="1">
      <c r="A19" s="2">
        <v>17</v>
      </c>
      <c r="B19" s="6" t="s">
        <v>78</v>
      </c>
      <c r="C19" s="6" t="s">
        <v>82</v>
      </c>
      <c r="D19" s="2" t="s">
        <v>80</v>
      </c>
      <c r="E19" s="2" t="s">
        <v>58</v>
      </c>
      <c r="F19" s="2" t="s">
        <v>59</v>
      </c>
      <c r="G19" s="8" t="s">
        <v>295</v>
      </c>
      <c r="H19" s="8" t="s">
        <v>295</v>
      </c>
      <c r="I19" s="8" t="s">
        <v>296</v>
      </c>
      <c r="J19" s="8" t="s">
        <v>297</v>
      </c>
      <c r="K19" s="8" t="s">
        <v>298</v>
      </c>
      <c r="L19" s="9" t="s">
        <v>303</v>
      </c>
      <c r="M19" s="8"/>
      <c r="N19" s="10"/>
    </row>
    <row r="20" spans="1:14" ht="25.5" customHeight="1">
      <c r="A20" s="2">
        <v>18</v>
      </c>
      <c r="B20" s="6" t="s">
        <v>78</v>
      </c>
      <c r="C20" s="6" t="s">
        <v>83</v>
      </c>
      <c r="D20" s="2" t="s">
        <v>80</v>
      </c>
      <c r="E20" s="2" t="s">
        <v>58</v>
      </c>
      <c r="F20" s="2" t="s">
        <v>59</v>
      </c>
      <c r="G20" s="8" t="s">
        <v>295</v>
      </c>
      <c r="H20" s="8" t="s">
        <v>295</v>
      </c>
      <c r="I20" s="8" t="s">
        <v>296</v>
      </c>
      <c r="J20" s="8" t="s">
        <v>297</v>
      </c>
      <c r="K20" s="8" t="s">
        <v>298</v>
      </c>
      <c r="L20" s="9" t="s">
        <v>303</v>
      </c>
      <c r="M20" s="8"/>
      <c r="N20" s="10"/>
    </row>
    <row r="21" spans="1:14" ht="25.5" customHeight="1">
      <c r="A21" s="2">
        <v>19</v>
      </c>
      <c r="B21" s="6" t="s">
        <v>78</v>
      </c>
      <c r="C21" s="6" t="s">
        <v>84</v>
      </c>
      <c r="D21" s="2" t="s">
        <v>80</v>
      </c>
      <c r="E21" s="2" t="s">
        <v>65</v>
      </c>
      <c r="F21" s="2" t="s">
        <v>59</v>
      </c>
      <c r="G21" s="8" t="s">
        <v>304</v>
      </c>
      <c r="H21" s="8" t="s">
        <v>295</v>
      </c>
      <c r="I21" s="8" t="s">
        <v>296</v>
      </c>
      <c r="J21" s="8" t="s">
        <v>297</v>
      </c>
      <c r="K21" s="8" t="s">
        <v>298</v>
      </c>
      <c r="L21" s="9" t="s">
        <v>303</v>
      </c>
      <c r="M21" s="8"/>
      <c r="N21" s="10"/>
    </row>
    <row r="22" spans="1:14" ht="25.5" customHeight="1">
      <c r="A22" s="2">
        <v>20</v>
      </c>
      <c r="B22" s="6" t="s">
        <v>78</v>
      </c>
      <c r="C22" s="6" t="s">
        <v>85</v>
      </c>
      <c r="D22" s="2" t="s">
        <v>80</v>
      </c>
      <c r="E22" s="2" t="s">
        <v>58</v>
      </c>
      <c r="F22" s="2" t="s">
        <v>68</v>
      </c>
      <c r="G22" s="8" t="s">
        <v>295</v>
      </c>
      <c r="H22" s="8" t="s">
        <v>295</v>
      </c>
      <c r="I22" s="8" t="s">
        <v>296</v>
      </c>
      <c r="J22" s="8" t="s">
        <v>297</v>
      </c>
      <c r="K22" s="8" t="s">
        <v>298</v>
      </c>
      <c r="L22" s="9" t="s">
        <v>305</v>
      </c>
      <c r="M22" s="8"/>
      <c r="N22" s="10"/>
    </row>
    <row r="23" spans="1:14" ht="25.5" customHeight="1">
      <c r="A23" s="2">
        <v>21</v>
      </c>
      <c r="B23" s="6" t="s">
        <v>78</v>
      </c>
      <c r="C23" s="6" t="s">
        <v>86</v>
      </c>
      <c r="D23" s="2" t="s">
        <v>87</v>
      </c>
      <c r="E23" s="2" t="s">
        <v>65</v>
      </c>
      <c r="F23" s="2" t="s">
        <v>59</v>
      </c>
      <c r="G23" s="8" t="s">
        <v>295</v>
      </c>
      <c r="H23" s="8" t="s">
        <v>295</v>
      </c>
      <c r="I23" s="8" t="s">
        <v>296</v>
      </c>
      <c r="J23" s="8" t="s">
        <v>297</v>
      </c>
      <c r="K23" s="8" t="s">
        <v>298</v>
      </c>
      <c r="L23" s="9" t="s">
        <v>303</v>
      </c>
      <c r="M23" s="8"/>
      <c r="N23" s="10"/>
    </row>
    <row r="24" spans="1:14" ht="25.5" customHeight="1">
      <c r="A24" s="2">
        <v>22</v>
      </c>
      <c r="B24" s="6" t="s">
        <v>88</v>
      </c>
      <c r="C24" s="6" t="s">
        <v>89</v>
      </c>
      <c r="D24" s="2" t="s">
        <v>90</v>
      </c>
      <c r="E24" s="2" t="s">
        <v>58</v>
      </c>
      <c r="F24" s="2" t="s">
        <v>59</v>
      </c>
      <c r="G24" s="8" t="s">
        <v>295</v>
      </c>
      <c r="H24" s="8" t="s">
        <v>295</v>
      </c>
      <c r="I24" s="8" t="s">
        <v>296</v>
      </c>
      <c r="J24" s="8" t="s">
        <v>297</v>
      </c>
      <c r="K24" s="8" t="s">
        <v>298</v>
      </c>
      <c r="L24" s="9" t="s">
        <v>299</v>
      </c>
      <c r="M24" s="8"/>
      <c r="N24" s="10"/>
    </row>
    <row r="25" spans="1:14" ht="25.5" customHeight="1">
      <c r="A25" s="2">
        <v>23</v>
      </c>
      <c r="B25" s="6" t="s">
        <v>88</v>
      </c>
      <c r="C25" s="6" t="s">
        <v>91</v>
      </c>
      <c r="D25" s="2" t="s">
        <v>90</v>
      </c>
      <c r="E25" s="2" t="s">
        <v>58</v>
      </c>
      <c r="F25" s="2" t="s">
        <v>59</v>
      </c>
      <c r="G25" s="8" t="s">
        <v>295</v>
      </c>
      <c r="H25" s="8" t="s">
        <v>295</v>
      </c>
      <c r="I25" s="8" t="s">
        <v>296</v>
      </c>
      <c r="J25" s="8" t="s">
        <v>297</v>
      </c>
      <c r="K25" s="8" t="s">
        <v>298</v>
      </c>
      <c r="L25" s="9" t="s">
        <v>299</v>
      </c>
      <c r="M25" s="8"/>
      <c r="N25" s="10"/>
    </row>
    <row r="26" spans="1:14" ht="25.5" customHeight="1">
      <c r="A26" s="2">
        <v>24</v>
      </c>
      <c r="B26" s="6" t="s">
        <v>88</v>
      </c>
      <c r="C26" s="6" t="s">
        <v>92</v>
      </c>
      <c r="D26" s="2" t="s">
        <v>90</v>
      </c>
      <c r="E26" s="2" t="s">
        <v>58</v>
      </c>
      <c r="F26" s="2" t="s">
        <v>59</v>
      </c>
      <c r="G26" s="8" t="s">
        <v>295</v>
      </c>
      <c r="H26" s="8" t="s">
        <v>295</v>
      </c>
      <c r="I26" s="8" t="s">
        <v>296</v>
      </c>
      <c r="J26" s="8" t="s">
        <v>297</v>
      </c>
      <c r="K26" s="8" t="s">
        <v>298</v>
      </c>
      <c r="L26" s="9" t="s">
        <v>299</v>
      </c>
      <c r="M26" s="8"/>
      <c r="N26" s="10"/>
    </row>
    <row r="27" spans="1:14" ht="25.5" customHeight="1">
      <c r="A27" s="2">
        <v>25</v>
      </c>
      <c r="B27" s="6" t="s">
        <v>88</v>
      </c>
      <c r="C27" s="6" t="s">
        <v>93</v>
      </c>
      <c r="D27" s="2" t="s">
        <v>90</v>
      </c>
      <c r="E27" s="2" t="s">
        <v>58</v>
      </c>
      <c r="F27" s="2" t="s">
        <v>59</v>
      </c>
      <c r="G27" s="8" t="s">
        <v>295</v>
      </c>
      <c r="H27" s="8" t="s">
        <v>295</v>
      </c>
      <c r="I27" s="8" t="s">
        <v>296</v>
      </c>
      <c r="J27" s="8" t="s">
        <v>297</v>
      </c>
      <c r="K27" s="8" t="s">
        <v>298</v>
      </c>
      <c r="L27" s="9" t="s">
        <v>299</v>
      </c>
      <c r="M27" s="8"/>
      <c r="N27" s="10"/>
    </row>
    <row r="28" spans="1:14" ht="25.5" customHeight="1">
      <c r="A28" s="2">
        <v>26</v>
      </c>
      <c r="B28" s="6" t="s">
        <v>88</v>
      </c>
      <c r="C28" s="6" t="s">
        <v>94</v>
      </c>
      <c r="D28" s="2" t="s">
        <v>90</v>
      </c>
      <c r="E28" s="2" t="s">
        <v>58</v>
      </c>
      <c r="F28" s="2" t="s">
        <v>59</v>
      </c>
      <c r="G28" s="8" t="s">
        <v>295</v>
      </c>
      <c r="H28" s="8" t="s">
        <v>295</v>
      </c>
      <c r="I28" s="8" t="s">
        <v>296</v>
      </c>
      <c r="J28" s="8" t="s">
        <v>297</v>
      </c>
      <c r="K28" s="8" t="s">
        <v>298</v>
      </c>
      <c r="L28" s="9" t="s">
        <v>306</v>
      </c>
      <c r="M28" s="8"/>
      <c r="N28" s="10"/>
    </row>
    <row r="29" spans="1:14" ht="25.5" customHeight="1">
      <c r="A29" s="2">
        <v>27</v>
      </c>
      <c r="B29" s="6" t="s">
        <v>88</v>
      </c>
      <c r="C29" s="6" t="s">
        <v>95</v>
      </c>
      <c r="D29" s="2" t="s">
        <v>90</v>
      </c>
      <c r="E29" s="2" t="s">
        <v>58</v>
      </c>
      <c r="F29" s="2" t="s">
        <v>59</v>
      </c>
      <c r="G29" s="8" t="s">
        <v>295</v>
      </c>
      <c r="H29" s="8" t="s">
        <v>295</v>
      </c>
      <c r="I29" s="8" t="s">
        <v>296</v>
      </c>
      <c r="J29" s="8" t="s">
        <v>297</v>
      </c>
      <c r="K29" s="8" t="s">
        <v>298</v>
      </c>
      <c r="L29" s="9" t="s">
        <v>306</v>
      </c>
      <c r="M29" s="8"/>
      <c r="N29" s="10"/>
    </row>
    <row r="30" spans="1:14" ht="25.5" customHeight="1">
      <c r="A30" s="2">
        <v>28</v>
      </c>
      <c r="B30" s="6" t="s">
        <v>88</v>
      </c>
      <c r="C30" s="6" t="s">
        <v>96</v>
      </c>
      <c r="D30" s="2" t="s">
        <v>90</v>
      </c>
      <c r="E30" s="2" t="s">
        <v>58</v>
      </c>
      <c r="F30" s="2" t="s">
        <v>59</v>
      </c>
      <c r="G30" s="8" t="s">
        <v>295</v>
      </c>
      <c r="H30" s="8" t="s">
        <v>295</v>
      </c>
      <c r="I30" s="8" t="s">
        <v>296</v>
      </c>
      <c r="J30" s="8" t="s">
        <v>297</v>
      </c>
      <c r="K30" s="8" t="s">
        <v>298</v>
      </c>
      <c r="L30" s="9" t="s">
        <v>306</v>
      </c>
      <c r="M30" s="8"/>
      <c r="N30" s="10"/>
    </row>
    <row r="31" spans="1:14" ht="25.5" customHeight="1">
      <c r="A31" s="2">
        <v>29</v>
      </c>
      <c r="B31" s="6" t="s">
        <v>88</v>
      </c>
      <c r="C31" s="6" t="s">
        <v>97</v>
      </c>
      <c r="D31" s="2" t="s">
        <v>90</v>
      </c>
      <c r="E31" s="2" t="s">
        <v>65</v>
      </c>
      <c r="F31" s="2" t="s">
        <v>59</v>
      </c>
      <c r="G31" s="8" t="s">
        <v>295</v>
      </c>
      <c r="H31" s="8" t="s">
        <v>295</v>
      </c>
      <c r="I31" s="8" t="s">
        <v>296</v>
      </c>
      <c r="J31" s="8" t="s">
        <v>297</v>
      </c>
      <c r="K31" s="8" t="s">
        <v>298</v>
      </c>
      <c r="L31" s="9" t="s">
        <v>306</v>
      </c>
      <c r="M31" s="8"/>
      <c r="N31" s="10"/>
    </row>
    <row r="32" spans="1:14" ht="25.5" customHeight="1">
      <c r="A32" s="2">
        <v>30</v>
      </c>
      <c r="B32" s="6" t="s">
        <v>88</v>
      </c>
      <c r="C32" s="6" t="s">
        <v>98</v>
      </c>
      <c r="D32" s="2" t="s">
        <v>90</v>
      </c>
      <c r="E32" s="2" t="s">
        <v>65</v>
      </c>
      <c r="F32" s="2" t="s">
        <v>59</v>
      </c>
      <c r="G32" s="8" t="s">
        <v>295</v>
      </c>
      <c r="H32" s="8" t="s">
        <v>295</v>
      </c>
      <c r="I32" s="8" t="s">
        <v>296</v>
      </c>
      <c r="J32" s="8" t="s">
        <v>297</v>
      </c>
      <c r="K32" s="8" t="s">
        <v>298</v>
      </c>
      <c r="L32" s="9" t="s">
        <v>306</v>
      </c>
      <c r="M32" s="8"/>
      <c r="N32" s="10"/>
    </row>
    <row r="33" spans="1:14" ht="25.5" customHeight="1">
      <c r="A33" s="2">
        <v>31</v>
      </c>
      <c r="B33" s="6" t="s">
        <v>88</v>
      </c>
      <c r="C33" s="6" t="s">
        <v>99</v>
      </c>
      <c r="D33" s="2" t="s">
        <v>90</v>
      </c>
      <c r="E33" s="2" t="s">
        <v>58</v>
      </c>
      <c r="F33" s="2" t="s">
        <v>68</v>
      </c>
      <c r="G33" s="8" t="s">
        <v>295</v>
      </c>
      <c r="H33" s="8" t="s">
        <v>295</v>
      </c>
      <c r="I33" s="8" t="s">
        <v>296</v>
      </c>
      <c r="J33" s="8" t="s">
        <v>297</v>
      </c>
      <c r="K33" s="8" t="s">
        <v>298</v>
      </c>
      <c r="L33" s="9" t="s">
        <v>306</v>
      </c>
      <c r="M33" s="8"/>
      <c r="N33" s="10"/>
    </row>
    <row r="34" spans="1:14" ht="25.5" customHeight="1">
      <c r="A34" s="2">
        <v>32</v>
      </c>
      <c r="B34" s="6" t="s">
        <v>88</v>
      </c>
      <c r="C34" s="6" t="s">
        <v>100</v>
      </c>
      <c r="D34" s="2" t="s">
        <v>90</v>
      </c>
      <c r="E34" s="2" t="s">
        <v>65</v>
      </c>
      <c r="F34" s="2" t="s">
        <v>59</v>
      </c>
      <c r="G34" s="8" t="s">
        <v>295</v>
      </c>
      <c r="H34" s="8" t="s">
        <v>295</v>
      </c>
      <c r="I34" s="8" t="s">
        <v>296</v>
      </c>
      <c r="J34" s="8" t="s">
        <v>297</v>
      </c>
      <c r="K34" s="8" t="s">
        <v>298</v>
      </c>
      <c r="L34" s="9" t="s">
        <v>299</v>
      </c>
      <c r="M34" s="8"/>
      <c r="N34" s="10"/>
    </row>
  </sheetData>
  <autoFilter ref="A2:N34" xr:uid="{00000000-0009-0000-0000-000002000000}"/>
  <mergeCells count="1">
    <mergeCell ref="A1:N1"/>
  </mergeCells>
  <conditionalFormatting sqref="G3:H34">
    <cfRule type="cellIs" dxfId="143" priority="2" operator="equal">
      <formula>"Completed"</formula>
    </cfRule>
    <cfRule type="cellIs" dxfId="142" priority="3" operator="equal">
      <formula>"In Progress"</formula>
    </cfRule>
    <cfRule type="cellIs" dxfId="141" priority="4" operator="equal">
      <formula>"Dev Complete"</formula>
    </cfRule>
    <cfRule type="cellIs" dxfId="140" priority="5" operator="equal">
      <formula>"Code Review"</formula>
    </cfRule>
    <cfRule type="cellIs" dxfId="139" priority="6" operator="equal">
      <formula>"Blocked"</formula>
    </cfRule>
    <cfRule type="cellIs" dxfId="138" priority="7" operator="equal">
      <formula>"On Hold"</formula>
    </cfRule>
    <cfRule type="cellIs" dxfId="137" priority="8" operator="equal">
      <formula>"Not Applicable"</formula>
    </cfRule>
  </conditionalFormatting>
  <conditionalFormatting sqref="I3:I34">
    <cfRule type="cellIs" dxfId="136" priority="9" operator="equal">
      <formula>"Passed"</formula>
    </cfRule>
    <cfRule type="cellIs" dxfId="135" priority="10" operator="equal">
      <formula>"In Progress"</formula>
    </cfRule>
    <cfRule type="cellIs" dxfId="134" priority="11" operator="equal">
      <formula>"Re-Test"</formula>
    </cfRule>
    <cfRule type="cellIs" dxfId="133" priority="12" operator="equal">
      <formula>"Failed"</formula>
    </cfRule>
    <cfRule type="cellIs" dxfId="132" priority="13" operator="equal">
      <formula>"Blocked"</formula>
    </cfRule>
    <cfRule type="cellIs" dxfId="131" priority="14" operator="equal">
      <formula>"Not Applicable"</formula>
    </cfRule>
  </conditionalFormatting>
  <conditionalFormatting sqref="J3:K34">
    <cfRule type="cellIs" dxfId="130" priority="15" operator="equal">
      <formula>"Deployed"</formula>
    </cfRule>
    <cfRule type="cellIs" dxfId="129" priority="16" operator="equal">
      <formula>"Verified"</formula>
    </cfRule>
    <cfRule type="cellIs" dxfId="128" priority="17" operator="equal">
      <formula>"Ready for Deploy"</formula>
    </cfRule>
    <cfRule type="cellIs" dxfId="127" priority="18" operator="equal">
      <formula>"Deploy Failed"</formula>
    </cfRule>
    <cfRule type="cellIs" dxfId="126" priority="19" operator="equal">
      <formula>"Rolled Back"</formula>
    </cfRule>
    <cfRule type="cellIs" dxfId="125" priority="20" operator="equal">
      <formula>"Not Applicable"</formula>
    </cfRule>
  </conditionalFormatting>
  <conditionalFormatting sqref="F3:F34">
    <cfRule type="cellIs" dxfId="124" priority="21" operator="equal">
      <formula>"High"</formula>
    </cfRule>
    <cfRule type="cellIs" dxfId="123" priority="22" operator="equal">
      <formula>"Medium"</formula>
    </cfRule>
    <cfRule type="cellIs" dxfId="122" priority="23" operator="equal">
      <formula>"Low"</formula>
    </cfRule>
  </conditionalFormatting>
  <dataValidations count="5">
    <dataValidation type="list" allowBlank="1" sqref="E3:E34" xr:uid="{00000000-0002-0000-0200-000000000000}">
      <formula1>Layer</formula1>
      <formula2>0</formula2>
    </dataValidation>
    <dataValidation type="list" allowBlank="1" sqref="F3:F34" xr:uid="{00000000-0002-0000-0200-000001000000}">
      <formula1>Priority</formula1>
      <formula2>0</formula2>
    </dataValidation>
    <dataValidation type="list" allowBlank="1" sqref="G3:H34" xr:uid="{00000000-0002-0000-0200-000002000000}">
      <formula1>DevStatus</formula1>
      <formula2>0</formula2>
    </dataValidation>
    <dataValidation type="list" allowBlank="1" sqref="I3:I34" xr:uid="{00000000-0002-0000-0200-000003000000}">
      <formula1>QAStatus</formula1>
      <formula2>0</formula2>
    </dataValidation>
    <dataValidation type="list" allowBlank="1" sqref="J3:K34" xr:uid="{00000000-0002-0000-0200-000004000000}">
      <formula1>DeployStatus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"/>
  <sheetViews>
    <sheetView showGridLines="0" tabSelected="1" zoomScaleNormal="100" workbookViewId="0">
      <pane xSplit="3" ySplit="2" topLeftCell="D9" activePane="bottomRight" state="frozen"/>
      <selection pane="bottomRight" activeCell="C15" sqref="C15"/>
      <selection pane="bottomLeft" activeCell="A3" sqref="A3"/>
      <selection pane="topRight" activeCell="D1" sqref="D1"/>
    </sheetView>
  </sheetViews>
  <sheetFormatPr defaultColWidth="8.7109375" defaultRowHeight="15"/>
  <cols>
    <col min="1" max="1" width="6" customWidth="1"/>
    <col min="2" max="2" width="28" customWidth="1"/>
    <col min="3" max="3" width="48" customWidth="1"/>
    <col min="4" max="4" width="16" customWidth="1"/>
    <col min="5" max="5" width="12" customWidth="1"/>
    <col min="6" max="6" width="10" customWidth="1"/>
    <col min="7" max="8" width="15" customWidth="1"/>
    <col min="9" max="9" width="14" customWidth="1"/>
    <col min="10" max="12" width="16" customWidth="1"/>
    <col min="13" max="13" width="13" customWidth="1"/>
    <col min="14" max="14" width="38" customWidth="1"/>
  </cols>
  <sheetData>
    <row r="1" spans="1:14" ht="24" customHeight="1">
      <c r="A1" s="17" t="s">
        <v>307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27.75" customHeight="1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</row>
    <row r="3" spans="1:14" ht="25.5" customHeight="1">
      <c r="A3" s="2">
        <v>1</v>
      </c>
      <c r="B3" s="6" t="s">
        <v>88</v>
      </c>
      <c r="C3" s="6" t="s">
        <v>101</v>
      </c>
      <c r="D3" s="2" t="s">
        <v>90</v>
      </c>
      <c r="E3" s="2" t="s">
        <v>65</v>
      </c>
      <c r="F3" s="2" t="s">
        <v>59</v>
      </c>
      <c r="G3" s="8" t="s">
        <v>308</v>
      </c>
      <c r="H3" s="8" t="s">
        <v>308</v>
      </c>
      <c r="I3" s="8" t="s">
        <v>296</v>
      </c>
      <c r="J3" s="8" t="s">
        <v>298</v>
      </c>
      <c r="K3" s="8" t="s">
        <v>298</v>
      </c>
      <c r="L3" s="9" t="s">
        <v>309</v>
      </c>
      <c r="M3" s="8"/>
      <c r="N3" s="10"/>
    </row>
    <row r="4" spans="1:14" ht="25.5" customHeight="1">
      <c r="A4" s="2">
        <v>2</v>
      </c>
      <c r="B4" s="6" t="s">
        <v>88</v>
      </c>
      <c r="C4" s="6" t="s">
        <v>102</v>
      </c>
      <c r="D4" s="2" t="s">
        <v>90</v>
      </c>
      <c r="E4" s="2" t="s">
        <v>58</v>
      </c>
      <c r="F4" s="2" t="s">
        <v>59</v>
      </c>
      <c r="G4" s="8" t="s">
        <v>296</v>
      </c>
      <c r="H4" s="8" t="s">
        <v>308</v>
      </c>
      <c r="I4" s="8" t="s">
        <v>296</v>
      </c>
      <c r="J4" s="8" t="s">
        <v>298</v>
      </c>
      <c r="K4" s="8" t="s">
        <v>298</v>
      </c>
      <c r="L4" s="9" t="s">
        <v>299</v>
      </c>
      <c r="M4" s="8"/>
      <c r="N4" s="10"/>
    </row>
    <row r="5" spans="1:14" ht="25.5" customHeight="1">
      <c r="A5" s="2">
        <v>3</v>
      </c>
      <c r="B5" s="6" t="s">
        <v>88</v>
      </c>
      <c r="C5" s="6" t="s">
        <v>103</v>
      </c>
      <c r="D5" s="2" t="s">
        <v>90</v>
      </c>
      <c r="E5" s="2" t="s">
        <v>65</v>
      </c>
      <c r="F5" s="2" t="s">
        <v>59</v>
      </c>
      <c r="G5" s="8" t="s">
        <v>296</v>
      </c>
      <c r="H5" s="8" t="s">
        <v>308</v>
      </c>
      <c r="I5" s="8" t="s">
        <v>296</v>
      </c>
      <c r="J5" s="8" t="s">
        <v>298</v>
      </c>
      <c r="K5" s="8" t="s">
        <v>298</v>
      </c>
      <c r="L5" s="9" t="s">
        <v>309</v>
      </c>
      <c r="M5" s="8"/>
      <c r="N5" s="10"/>
    </row>
    <row r="6" spans="1:14" ht="25.5" customHeight="1">
      <c r="A6" s="2">
        <v>4</v>
      </c>
      <c r="B6" s="6" t="s">
        <v>88</v>
      </c>
      <c r="C6" s="6" t="s">
        <v>104</v>
      </c>
      <c r="D6" s="2" t="s">
        <v>105</v>
      </c>
      <c r="E6" s="2" t="s">
        <v>65</v>
      </c>
      <c r="F6" s="2" t="s">
        <v>59</v>
      </c>
      <c r="G6" s="8" t="s">
        <v>304</v>
      </c>
      <c r="H6" s="8" t="s">
        <v>308</v>
      </c>
      <c r="I6" s="8" t="s">
        <v>296</v>
      </c>
      <c r="J6" s="8" t="s">
        <v>298</v>
      </c>
      <c r="K6" s="8" t="s">
        <v>298</v>
      </c>
      <c r="L6" s="9" t="s">
        <v>309</v>
      </c>
      <c r="M6" s="8"/>
      <c r="N6" s="10"/>
    </row>
    <row r="7" spans="1:14" ht="25.5" customHeight="1">
      <c r="A7" s="2">
        <v>5</v>
      </c>
      <c r="B7" s="6" t="s">
        <v>88</v>
      </c>
      <c r="C7" s="6" t="s">
        <v>106</v>
      </c>
      <c r="D7" s="2" t="s">
        <v>90</v>
      </c>
      <c r="E7" s="2" t="s">
        <v>58</v>
      </c>
      <c r="F7" s="2" t="s">
        <v>59</v>
      </c>
      <c r="G7" s="8" t="s">
        <v>296</v>
      </c>
      <c r="H7" s="8" t="s">
        <v>308</v>
      </c>
      <c r="I7" s="8" t="s">
        <v>296</v>
      </c>
      <c r="J7" s="8" t="s">
        <v>298</v>
      </c>
      <c r="K7" s="8" t="s">
        <v>298</v>
      </c>
      <c r="L7" s="9" t="s">
        <v>299</v>
      </c>
      <c r="M7" s="8"/>
      <c r="N7" s="10"/>
    </row>
    <row r="8" spans="1:14" ht="25.5" customHeight="1">
      <c r="A8" s="2">
        <v>6</v>
      </c>
      <c r="B8" s="6" t="s">
        <v>88</v>
      </c>
      <c r="C8" s="6" t="s">
        <v>107</v>
      </c>
      <c r="D8" s="2" t="s">
        <v>90</v>
      </c>
      <c r="E8" s="2" t="s">
        <v>58</v>
      </c>
      <c r="F8" s="2" t="s">
        <v>59</v>
      </c>
      <c r="G8" s="8" t="s">
        <v>296</v>
      </c>
      <c r="H8" s="8" t="s">
        <v>308</v>
      </c>
      <c r="I8" s="8" t="s">
        <v>296</v>
      </c>
      <c r="J8" s="8" t="s">
        <v>298</v>
      </c>
      <c r="K8" s="8" t="s">
        <v>298</v>
      </c>
      <c r="L8" s="9" t="s">
        <v>299</v>
      </c>
      <c r="M8" s="8"/>
      <c r="N8" s="10"/>
    </row>
    <row r="9" spans="1:14" ht="25.5" customHeight="1">
      <c r="A9" s="2">
        <v>7</v>
      </c>
      <c r="B9" s="6" t="s">
        <v>88</v>
      </c>
      <c r="C9" s="6" t="s">
        <v>108</v>
      </c>
      <c r="D9" s="2" t="s">
        <v>90</v>
      </c>
      <c r="E9" s="2" t="s">
        <v>58</v>
      </c>
      <c r="F9" s="2" t="s">
        <v>59</v>
      </c>
      <c r="G9" s="8" t="s">
        <v>296</v>
      </c>
      <c r="H9" s="8" t="s">
        <v>308</v>
      </c>
      <c r="I9" s="8" t="s">
        <v>296</v>
      </c>
      <c r="J9" s="8" t="s">
        <v>298</v>
      </c>
      <c r="K9" s="8" t="s">
        <v>298</v>
      </c>
      <c r="L9" s="9" t="s">
        <v>309</v>
      </c>
      <c r="M9" s="8"/>
      <c r="N9" s="10"/>
    </row>
    <row r="10" spans="1:14" ht="25.5" customHeight="1">
      <c r="A10" s="2">
        <v>8</v>
      </c>
      <c r="B10" s="6" t="s">
        <v>88</v>
      </c>
      <c r="C10" s="6" t="s">
        <v>109</v>
      </c>
      <c r="D10" s="2" t="s">
        <v>90</v>
      </c>
      <c r="E10" s="2" t="s">
        <v>58</v>
      </c>
      <c r="F10" s="2" t="s">
        <v>68</v>
      </c>
      <c r="G10" s="8" t="s">
        <v>296</v>
      </c>
      <c r="H10" s="8" t="s">
        <v>308</v>
      </c>
      <c r="I10" s="8" t="s">
        <v>296</v>
      </c>
      <c r="J10" s="8" t="s">
        <v>298</v>
      </c>
      <c r="K10" s="8" t="s">
        <v>298</v>
      </c>
      <c r="L10" s="9" t="s">
        <v>309</v>
      </c>
      <c r="M10" s="8"/>
      <c r="N10" s="10"/>
    </row>
    <row r="11" spans="1:14" ht="25.5" customHeight="1">
      <c r="A11" s="2">
        <v>9</v>
      </c>
      <c r="B11" s="6" t="s">
        <v>88</v>
      </c>
      <c r="C11" s="6" t="s">
        <v>110</v>
      </c>
      <c r="D11" s="2" t="s">
        <v>90</v>
      </c>
      <c r="E11" s="2" t="s">
        <v>58</v>
      </c>
      <c r="F11" s="2" t="s">
        <v>68</v>
      </c>
      <c r="G11" s="8" t="s">
        <v>296</v>
      </c>
      <c r="H11" s="8" t="s">
        <v>296</v>
      </c>
      <c r="I11" s="8" t="s">
        <v>296</v>
      </c>
      <c r="J11" s="8" t="s">
        <v>298</v>
      </c>
      <c r="K11" s="8" t="s">
        <v>298</v>
      </c>
      <c r="L11" s="9" t="s">
        <v>299</v>
      </c>
      <c r="M11" s="8"/>
      <c r="N11" s="10"/>
    </row>
    <row r="12" spans="1:14" ht="25.5" customHeight="1">
      <c r="A12" s="2">
        <v>10</v>
      </c>
      <c r="B12" s="6" t="s">
        <v>111</v>
      </c>
      <c r="C12" s="6" t="s">
        <v>112</v>
      </c>
      <c r="D12" s="2" t="s">
        <v>113</v>
      </c>
      <c r="E12" s="2" t="s">
        <v>65</v>
      </c>
      <c r="F12" s="2" t="s">
        <v>59</v>
      </c>
      <c r="G12" s="8" t="s">
        <v>308</v>
      </c>
      <c r="H12" s="8" t="s">
        <v>308</v>
      </c>
      <c r="I12" s="8" t="s">
        <v>296</v>
      </c>
      <c r="J12" s="8" t="s">
        <v>298</v>
      </c>
      <c r="K12" s="8" t="s">
        <v>298</v>
      </c>
      <c r="L12" s="9" t="s">
        <v>300</v>
      </c>
      <c r="M12" s="8"/>
      <c r="N12" s="10"/>
    </row>
    <row r="13" spans="1:14" ht="25.5" customHeight="1">
      <c r="A13" s="2">
        <v>11</v>
      </c>
      <c r="B13" s="6" t="s">
        <v>111</v>
      </c>
      <c r="C13" s="6" t="s">
        <v>114</v>
      </c>
      <c r="D13" s="2" t="s">
        <v>113</v>
      </c>
      <c r="E13" s="2" t="s">
        <v>58</v>
      </c>
      <c r="F13" s="2" t="s">
        <v>59</v>
      </c>
      <c r="G13" s="8" t="s">
        <v>308</v>
      </c>
      <c r="H13" s="8" t="s">
        <v>308</v>
      </c>
      <c r="I13" s="8" t="s">
        <v>296</v>
      </c>
      <c r="J13" s="8" t="s">
        <v>298</v>
      </c>
      <c r="K13" s="8" t="s">
        <v>298</v>
      </c>
      <c r="L13" s="9" t="s">
        <v>300</v>
      </c>
      <c r="M13" s="8"/>
      <c r="N13" s="10"/>
    </row>
    <row r="14" spans="1:14" ht="25.5" customHeight="1">
      <c r="A14" s="2">
        <v>12</v>
      </c>
      <c r="B14" s="6" t="s">
        <v>111</v>
      </c>
      <c r="C14" s="6" t="s">
        <v>310</v>
      </c>
      <c r="D14" s="2" t="s">
        <v>113</v>
      </c>
      <c r="E14" s="2" t="s">
        <v>58</v>
      </c>
      <c r="F14" s="2" t="s">
        <v>68</v>
      </c>
      <c r="G14" s="8" t="s">
        <v>296</v>
      </c>
      <c r="H14" s="8" t="s">
        <v>296</v>
      </c>
      <c r="I14" s="8" t="s">
        <v>296</v>
      </c>
      <c r="J14" s="8" t="s">
        <v>298</v>
      </c>
      <c r="K14" s="8" t="s">
        <v>298</v>
      </c>
      <c r="L14" s="9" t="s">
        <v>311</v>
      </c>
      <c r="M14" s="8"/>
      <c r="N14" s="10" t="s">
        <v>312</v>
      </c>
    </row>
    <row r="15" spans="1:14" ht="25.5" customHeight="1">
      <c r="A15" s="2">
        <v>13</v>
      </c>
      <c r="B15" s="6" t="s">
        <v>111</v>
      </c>
      <c r="C15" s="6" t="s">
        <v>116</v>
      </c>
      <c r="D15" s="2" t="s">
        <v>113</v>
      </c>
      <c r="E15" s="2" t="s">
        <v>65</v>
      </c>
      <c r="F15" s="2" t="s">
        <v>59</v>
      </c>
      <c r="G15" s="8" t="s">
        <v>296</v>
      </c>
      <c r="H15" s="8" t="s">
        <v>308</v>
      </c>
      <c r="I15" s="8" t="s">
        <v>296</v>
      </c>
      <c r="J15" s="8" t="s">
        <v>298</v>
      </c>
      <c r="K15" s="8" t="s">
        <v>298</v>
      </c>
      <c r="L15" s="9" t="s">
        <v>301</v>
      </c>
      <c r="M15" s="8"/>
      <c r="N15" s="10"/>
    </row>
    <row r="16" spans="1:14" ht="25.5" customHeight="1">
      <c r="A16" s="2">
        <v>14</v>
      </c>
      <c r="B16" s="6" t="s">
        <v>111</v>
      </c>
      <c r="C16" s="6" t="s">
        <v>117</v>
      </c>
      <c r="D16" s="2" t="s">
        <v>113</v>
      </c>
      <c r="E16" s="2" t="s">
        <v>65</v>
      </c>
      <c r="F16" s="2" t="s">
        <v>59</v>
      </c>
      <c r="G16" s="8" t="s">
        <v>296</v>
      </c>
      <c r="H16" s="8" t="s">
        <v>308</v>
      </c>
      <c r="I16" s="8" t="s">
        <v>296</v>
      </c>
      <c r="J16" s="8" t="s">
        <v>298</v>
      </c>
      <c r="K16" s="8" t="s">
        <v>298</v>
      </c>
      <c r="L16" s="9" t="s">
        <v>301</v>
      </c>
      <c r="M16" s="8"/>
      <c r="N16" s="10"/>
    </row>
    <row r="17" spans="1:14" ht="25.5" customHeight="1">
      <c r="A17" s="2">
        <v>15</v>
      </c>
      <c r="B17" s="6" t="s">
        <v>111</v>
      </c>
      <c r="C17" s="6" t="s">
        <v>118</v>
      </c>
      <c r="D17" s="2" t="s">
        <v>119</v>
      </c>
      <c r="E17" s="2" t="s">
        <v>65</v>
      </c>
      <c r="F17" s="2" t="s">
        <v>59</v>
      </c>
      <c r="G17" s="8" t="s">
        <v>296</v>
      </c>
      <c r="H17" s="8" t="s">
        <v>308</v>
      </c>
      <c r="I17" s="8" t="s">
        <v>296</v>
      </c>
      <c r="J17" s="8" t="s">
        <v>298</v>
      </c>
      <c r="K17" s="8" t="s">
        <v>298</v>
      </c>
      <c r="L17" s="9" t="s">
        <v>303</v>
      </c>
      <c r="M17" s="8"/>
      <c r="N17" s="10"/>
    </row>
    <row r="18" spans="1:14" ht="25.5" customHeight="1">
      <c r="A18" s="2">
        <v>16</v>
      </c>
      <c r="B18" s="6" t="s">
        <v>111</v>
      </c>
      <c r="C18" s="6" t="s">
        <v>120</v>
      </c>
      <c r="D18" s="2" t="s">
        <v>113</v>
      </c>
      <c r="E18" s="2" t="s">
        <v>58</v>
      </c>
      <c r="F18" s="2" t="s">
        <v>68</v>
      </c>
      <c r="G18" s="8" t="s">
        <v>296</v>
      </c>
      <c r="H18" s="8" t="s">
        <v>296</v>
      </c>
      <c r="I18" s="8" t="s">
        <v>296</v>
      </c>
      <c r="J18" s="8" t="s">
        <v>298</v>
      </c>
      <c r="K18" s="8" t="s">
        <v>298</v>
      </c>
      <c r="L18" s="9" t="s">
        <v>300</v>
      </c>
      <c r="M18" s="8"/>
      <c r="N18" s="10"/>
    </row>
    <row r="19" spans="1:14" ht="25.5" customHeight="1">
      <c r="A19" s="2">
        <v>17</v>
      </c>
      <c r="B19" s="6" t="s">
        <v>111</v>
      </c>
      <c r="C19" s="6" t="s">
        <v>121</v>
      </c>
      <c r="D19" s="2" t="s">
        <v>113</v>
      </c>
      <c r="E19" s="2" t="s">
        <v>58</v>
      </c>
      <c r="F19" s="2" t="s">
        <v>68</v>
      </c>
      <c r="G19" s="8" t="s">
        <v>296</v>
      </c>
      <c r="H19" s="8" t="s">
        <v>296</v>
      </c>
      <c r="I19" s="8" t="s">
        <v>296</v>
      </c>
      <c r="J19" s="8" t="s">
        <v>298</v>
      </c>
      <c r="K19" s="8" t="s">
        <v>298</v>
      </c>
      <c r="L19" s="9" t="s">
        <v>300</v>
      </c>
      <c r="M19" s="8"/>
      <c r="N19" s="10"/>
    </row>
    <row r="20" spans="1:14" ht="25.5" customHeight="1">
      <c r="A20" s="2">
        <v>18</v>
      </c>
      <c r="B20" s="6" t="s">
        <v>111</v>
      </c>
      <c r="C20" s="6" t="s">
        <v>122</v>
      </c>
      <c r="D20" s="2" t="s">
        <v>113</v>
      </c>
      <c r="E20" s="2" t="s">
        <v>65</v>
      </c>
      <c r="F20" s="2" t="s">
        <v>59</v>
      </c>
      <c r="G20" s="8" t="s">
        <v>296</v>
      </c>
      <c r="H20" s="8" t="s">
        <v>308</v>
      </c>
      <c r="I20" s="8" t="s">
        <v>296</v>
      </c>
      <c r="J20" s="8" t="s">
        <v>298</v>
      </c>
      <c r="K20" s="8" t="s">
        <v>298</v>
      </c>
      <c r="L20" s="9" t="s">
        <v>303</v>
      </c>
      <c r="M20" s="8"/>
      <c r="N20" s="10"/>
    </row>
    <row r="21" spans="1:14" ht="25.5" customHeight="1">
      <c r="A21" s="2">
        <v>19</v>
      </c>
      <c r="B21" s="6" t="s">
        <v>111</v>
      </c>
      <c r="C21" s="6" t="s">
        <v>123</v>
      </c>
      <c r="D21" s="2" t="s">
        <v>113</v>
      </c>
      <c r="E21" s="2" t="s">
        <v>65</v>
      </c>
      <c r="F21" s="2" t="s">
        <v>59</v>
      </c>
      <c r="G21" s="8" t="s">
        <v>296</v>
      </c>
      <c r="H21" s="8" t="s">
        <v>296</v>
      </c>
      <c r="I21" s="8" t="s">
        <v>296</v>
      </c>
      <c r="J21" s="8" t="s">
        <v>298</v>
      </c>
      <c r="K21" s="8" t="s">
        <v>298</v>
      </c>
      <c r="L21" s="9" t="s">
        <v>311</v>
      </c>
      <c r="M21" s="8"/>
      <c r="N21" s="10"/>
    </row>
    <row r="22" spans="1:14" ht="25.5" customHeight="1">
      <c r="A22" s="2">
        <v>20</v>
      </c>
      <c r="B22" s="6" t="s">
        <v>111</v>
      </c>
      <c r="C22" s="6" t="s">
        <v>124</v>
      </c>
      <c r="D22" s="2" t="s">
        <v>71</v>
      </c>
      <c r="E22" s="2" t="s">
        <v>65</v>
      </c>
      <c r="F22" s="2" t="s">
        <v>68</v>
      </c>
      <c r="G22" s="8" t="s">
        <v>304</v>
      </c>
      <c r="H22" s="8" t="s">
        <v>308</v>
      </c>
      <c r="I22" s="8" t="s">
        <v>296</v>
      </c>
      <c r="J22" s="8" t="s">
        <v>298</v>
      </c>
      <c r="K22" s="8" t="s">
        <v>298</v>
      </c>
      <c r="L22" s="9" t="s">
        <v>301</v>
      </c>
      <c r="M22" s="8"/>
      <c r="N22" s="10"/>
    </row>
    <row r="23" spans="1:14" ht="25.5" customHeight="1">
      <c r="A23" s="2">
        <v>21</v>
      </c>
      <c r="B23" s="6" t="s">
        <v>125</v>
      </c>
      <c r="C23" s="6" t="s">
        <v>126</v>
      </c>
      <c r="D23" s="2" t="s">
        <v>127</v>
      </c>
      <c r="E23" s="2" t="s">
        <v>58</v>
      </c>
      <c r="F23" s="2" t="s">
        <v>68</v>
      </c>
      <c r="G23" s="8" t="s">
        <v>296</v>
      </c>
      <c r="H23" s="8" t="s">
        <v>296</v>
      </c>
      <c r="I23" s="8" t="s">
        <v>296</v>
      </c>
      <c r="J23" s="8" t="s">
        <v>298</v>
      </c>
      <c r="K23" s="8" t="s">
        <v>298</v>
      </c>
      <c r="L23" s="9" t="s">
        <v>303</v>
      </c>
      <c r="M23" s="8"/>
      <c r="N23" s="10"/>
    </row>
    <row r="24" spans="1:14" ht="25.5" customHeight="1">
      <c r="A24" s="2">
        <v>22</v>
      </c>
      <c r="B24" s="6" t="s">
        <v>125</v>
      </c>
      <c r="C24" s="6" t="s">
        <v>128</v>
      </c>
      <c r="D24" s="2" t="s">
        <v>127</v>
      </c>
      <c r="E24" s="2" t="s">
        <v>58</v>
      </c>
      <c r="F24" s="2" t="s">
        <v>68</v>
      </c>
      <c r="G24" s="8" t="s">
        <v>296</v>
      </c>
      <c r="H24" s="8" t="s">
        <v>296</v>
      </c>
      <c r="I24" s="8" t="s">
        <v>296</v>
      </c>
      <c r="J24" s="8" t="s">
        <v>298</v>
      </c>
      <c r="K24" s="8" t="s">
        <v>298</v>
      </c>
      <c r="L24" s="9" t="s">
        <v>303</v>
      </c>
      <c r="M24" s="8"/>
      <c r="N24" s="10"/>
    </row>
    <row r="25" spans="1:14" ht="25.5" customHeight="1">
      <c r="A25" s="2">
        <v>23</v>
      </c>
      <c r="B25" s="6" t="s">
        <v>125</v>
      </c>
      <c r="C25" s="6" t="s">
        <v>129</v>
      </c>
      <c r="D25" s="2" t="s">
        <v>127</v>
      </c>
      <c r="E25" s="2" t="s">
        <v>58</v>
      </c>
      <c r="F25" s="2" t="s">
        <v>68</v>
      </c>
      <c r="G25" s="8" t="s">
        <v>296</v>
      </c>
      <c r="H25" s="8" t="s">
        <v>296</v>
      </c>
      <c r="I25" s="8" t="s">
        <v>296</v>
      </c>
      <c r="J25" s="8" t="s">
        <v>298</v>
      </c>
      <c r="K25" s="8" t="s">
        <v>298</v>
      </c>
      <c r="L25" s="9" t="s">
        <v>303</v>
      </c>
      <c r="M25" s="8"/>
      <c r="N25" s="10"/>
    </row>
  </sheetData>
  <autoFilter ref="A2:N25" xr:uid="{00000000-0009-0000-0000-000003000000}"/>
  <mergeCells count="1">
    <mergeCell ref="A1:N1"/>
  </mergeCells>
  <conditionalFormatting sqref="G3:H25">
    <cfRule type="cellIs" dxfId="121" priority="2" operator="equal">
      <formula>"Completed"</formula>
    </cfRule>
    <cfRule type="cellIs" dxfId="120" priority="3" operator="equal">
      <formula>"In Progress"</formula>
    </cfRule>
    <cfRule type="cellIs" dxfId="119" priority="4" operator="equal">
      <formula>"Dev Complete"</formula>
    </cfRule>
    <cfRule type="cellIs" dxfId="118" priority="5" operator="equal">
      <formula>"Code Review"</formula>
    </cfRule>
    <cfRule type="cellIs" dxfId="117" priority="6" operator="equal">
      <formula>"Blocked"</formula>
    </cfRule>
    <cfRule type="cellIs" dxfId="116" priority="7" operator="equal">
      <formula>"On Hold"</formula>
    </cfRule>
    <cfRule type="cellIs" dxfId="115" priority="8" operator="equal">
      <formula>"Not Applicable"</formula>
    </cfRule>
  </conditionalFormatting>
  <conditionalFormatting sqref="I3:I25">
    <cfRule type="cellIs" dxfId="114" priority="9" operator="equal">
      <formula>"Passed"</formula>
    </cfRule>
    <cfRule type="cellIs" dxfId="113" priority="10" operator="equal">
      <formula>"In Progress"</formula>
    </cfRule>
    <cfRule type="cellIs" dxfId="112" priority="11" operator="equal">
      <formula>"Re-Test"</formula>
    </cfRule>
    <cfRule type="cellIs" dxfId="111" priority="12" operator="equal">
      <formula>"Failed"</formula>
    </cfRule>
    <cfRule type="cellIs" dxfId="110" priority="13" operator="equal">
      <formula>"Blocked"</formula>
    </cfRule>
    <cfRule type="cellIs" dxfId="109" priority="14" operator="equal">
      <formula>"Not Applicable"</formula>
    </cfRule>
  </conditionalFormatting>
  <conditionalFormatting sqref="J3:K25">
    <cfRule type="cellIs" dxfId="108" priority="15" operator="equal">
      <formula>"Deployed"</formula>
    </cfRule>
    <cfRule type="cellIs" dxfId="107" priority="16" operator="equal">
      <formula>"Verified"</formula>
    </cfRule>
    <cfRule type="cellIs" dxfId="106" priority="17" operator="equal">
      <formula>"Ready for Deploy"</formula>
    </cfRule>
    <cfRule type="cellIs" dxfId="105" priority="18" operator="equal">
      <formula>"Deploy Failed"</formula>
    </cfRule>
    <cfRule type="cellIs" dxfId="104" priority="19" operator="equal">
      <formula>"Rolled Back"</formula>
    </cfRule>
    <cfRule type="cellIs" dxfId="103" priority="20" operator="equal">
      <formula>"Not Applicable"</formula>
    </cfRule>
  </conditionalFormatting>
  <conditionalFormatting sqref="F3:F25">
    <cfRule type="cellIs" dxfId="102" priority="21" operator="equal">
      <formula>"High"</formula>
    </cfRule>
    <cfRule type="cellIs" dxfId="101" priority="22" operator="equal">
      <formula>"Medium"</formula>
    </cfRule>
    <cfRule type="cellIs" dxfId="100" priority="23" operator="equal">
      <formula>"Low"</formula>
    </cfRule>
  </conditionalFormatting>
  <dataValidations count="5">
    <dataValidation type="list" allowBlank="1" sqref="E3:E25" xr:uid="{00000000-0002-0000-0300-000000000000}">
      <formula1>Layer</formula1>
      <formula2>0</formula2>
    </dataValidation>
    <dataValidation type="list" allowBlank="1" sqref="F3:F25" xr:uid="{00000000-0002-0000-0300-000001000000}">
      <formula1>Priority</formula1>
      <formula2>0</formula2>
    </dataValidation>
    <dataValidation type="list" allowBlank="1" sqref="G3:H25" xr:uid="{00000000-0002-0000-0300-000002000000}">
      <formula1>DevStatus</formula1>
      <formula2>0</formula2>
    </dataValidation>
    <dataValidation type="list" allowBlank="1" sqref="I3:I25" xr:uid="{00000000-0002-0000-0300-000003000000}">
      <formula1>QAStatus</formula1>
      <formula2>0</formula2>
    </dataValidation>
    <dataValidation type="list" allowBlank="1" sqref="J3:K25" xr:uid="{00000000-0002-0000-0300-000004000000}">
      <formula1>DeployStatus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3"/>
  <sheetViews>
    <sheetView showGridLines="0" zoomScaleNormal="100"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ColWidth="8.7109375" defaultRowHeight="15"/>
  <cols>
    <col min="1" max="1" width="6" customWidth="1"/>
    <col min="2" max="2" width="28" customWidth="1"/>
    <col min="3" max="3" width="48" customWidth="1"/>
    <col min="4" max="4" width="16" customWidth="1"/>
    <col min="5" max="5" width="12" customWidth="1"/>
    <col min="6" max="6" width="10" customWidth="1"/>
    <col min="7" max="8" width="15" customWidth="1"/>
    <col min="9" max="9" width="14" customWidth="1"/>
    <col min="10" max="12" width="16" customWidth="1"/>
    <col min="13" max="13" width="13" customWidth="1"/>
    <col min="14" max="14" width="38" customWidth="1"/>
  </cols>
  <sheetData>
    <row r="1" spans="1:14" ht="24" customHeight="1">
      <c r="A1" s="17" t="s">
        <v>313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27.75" customHeight="1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</row>
    <row r="3" spans="1:14" ht="25.5" customHeight="1">
      <c r="A3" s="2">
        <v>1</v>
      </c>
      <c r="B3" s="6" t="s">
        <v>130</v>
      </c>
      <c r="C3" s="6" t="s">
        <v>131</v>
      </c>
      <c r="D3" s="2" t="s">
        <v>132</v>
      </c>
      <c r="E3" s="2" t="s">
        <v>58</v>
      </c>
      <c r="F3" s="2" t="s">
        <v>59</v>
      </c>
      <c r="G3" s="8" t="s">
        <v>296</v>
      </c>
      <c r="H3" s="8" t="s">
        <v>296</v>
      </c>
      <c r="I3" s="8" t="s">
        <v>296</v>
      </c>
      <c r="J3" s="8" t="s">
        <v>298</v>
      </c>
      <c r="K3" s="8" t="s">
        <v>298</v>
      </c>
      <c r="L3" s="9"/>
      <c r="M3" s="8"/>
      <c r="N3" s="10"/>
    </row>
    <row r="4" spans="1:14" ht="25.5" customHeight="1">
      <c r="A4" s="2">
        <v>2</v>
      </c>
      <c r="B4" s="6" t="s">
        <v>130</v>
      </c>
      <c r="C4" s="6" t="s">
        <v>133</v>
      </c>
      <c r="D4" s="2" t="s">
        <v>132</v>
      </c>
      <c r="E4" s="2" t="s">
        <v>58</v>
      </c>
      <c r="F4" s="2" t="s">
        <v>59</v>
      </c>
      <c r="G4" s="8" t="s">
        <v>296</v>
      </c>
      <c r="H4" s="8" t="s">
        <v>296</v>
      </c>
      <c r="I4" s="8" t="s">
        <v>296</v>
      </c>
      <c r="J4" s="8" t="s">
        <v>298</v>
      </c>
      <c r="K4" s="8" t="s">
        <v>298</v>
      </c>
      <c r="L4" s="9"/>
      <c r="M4" s="8"/>
      <c r="N4" s="10"/>
    </row>
    <row r="5" spans="1:14" ht="25.5" customHeight="1">
      <c r="A5" s="2">
        <v>3</v>
      </c>
      <c r="B5" s="6" t="s">
        <v>130</v>
      </c>
      <c r="C5" s="6" t="s">
        <v>134</v>
      </c>
      <c r="D5" s="2" t="s">
        <v>132</v>
      </c>
      <c r="E5" s="2" t="s">
        <v>58</v>
      </c>
      <c r="F5" s="2" t="s">
        <v>59</v>
      </c>
      <c r="G5" s="8" t="s">
        <v>296</v>
      </c>
      <c r="H5" s="8" t="s">
        <v>296</v>
      </c>
      <c r="I5" s="8" t="s">
        <v>296</v>
      </c>
      <c r="J5" s="8" t="s">
        <v>298</v>
      </c>
      <c r="K5" s="8" t="s">
        <v>298</v>
      </c>
      <c r="L5" s="9"/>
      <c r="M5" s="8"/>
      <c r="N5" s="10"/>
    </row>
    <row r="6" spans="1:14" ht="25.5" customHeight="1">
      <c r="A6" s="2">
        <v>4</v>
      </c>
      <c r="B6" s="6" t="s">
        <v>130</v>
      </c>
      <c r="C6" s="6" t="s">
        <v>135</v>
      </c>
      <c r="D6" s="2" t="s">
        <v>132</v>
      </c>
      <c r="E6" s="2" t="s">
        <v>58</v>
      </c>
      <c r="F6" s="2" t="s">
        <v>59</v>
      </c>
      <c r="G6" s="8" t="s">
        <v>296</v>
      </c>
      <c r="H6" s="8" t="s">
        <v>296</v>
      </c>
      <c r="I6" s="8" t="s">
        <v>296</v>
      </c>
      <c r="J6" s="8" t="s">
        <v>298</v>
      </c>
      <c r="K6" s="8" t="s">
        <v>298</v>
      </c>
      <c r="L6" s="9"/>
      <c r="M6" s="8"/>
      <c r="N6" s="10"/>
    </row>
    <row r="7" spans="1:14" ht="25.5" customHeight="1">
      <c r="A7" s="2">
        <v>5</v>
      </c>
      <c r="B7" s="6" t="s">
        <v>130</v>
      </c>
      <c r="C7" s="6" t="s">
        <v>136</v>
      </c>
      <c r="D7" s="2" t="s">
        <v>132</v>
      </c>
      <c r="E7" s="2" t="s">
        <v>58</v>
      </c>
      <c r="F7" s="2" t="s">
        <v>68</v>
      </c>
      <c r="G7" s="8" t="s">
        <v>296</v>
      </c>
      <c r="H7" s="8" t="s">
        <v>296</v>
      </c>
      <c r="I7" s="8" t="s">
        <v>296</v>
      </c>
      <c r="J7" s="8" t="s">
        <v>298</v>
      </c>
      <c r="K7" s="8" t="s">
        <v>298</v>
      </c>
      <c r="L7" s="9"/>
      <c r="M7" s="8"/>
      <c r="N7" s="10"/>
    </row>
    <row r="8" spans="1:14" ht="25.5" customHeight="1">
      <c r="A8" s="2">
        <v>6</v>
      </c>
      <c r="B8" s="6" t="s">
        <v>130</v>
      </c>
      <c r="C8" s="6" t="s">
        <v>137</v>
      </c>
      <c r="D8" s="2" t="s">
        <v>132</v>
      </c>
      <c r="E8" s="2" t="s">
        <v>65</v>
      </c>
      <c r="F8" s="2" t="s">
        <v>59</v>
      </c>
      <c r="G8" s="8" t="s">
        <v>296</v>
      </c>
      <c r="H8" s="8" t="s">
        <v>296</v>
      </c>
      <c r="I8" s="8" t="s">
        <v>296</v>
      </c>
      <c r="J8" s="8" t="s">
        <v>298</v>
      </c>
      <c r="K8" s="8" t="s">
        <v>298</v>
      </c>
      <c r="L8" s="9"/>
      <c r="M8" s="8"/>
      <c r="N8" s="10"/>
    </row>
    <row r="9" spans="1:14" ht="25.5" customHeight="1">
      <c r="A9" s="2">
        <v>7</v>
      </c>
      <c r="B9" s="6" t="s">
        <v>138</v>
      </c>
      <c r="C9" s="6" t="s">
        <v>139</v>
      </c>
      <c r="D9" s="2" t="s">
        <v>140</v>
      </c>
      <c r="E9" s="2" t="s">
        <v>58</v>
      </c>
      <c r="F9" s="2" t="s">
        <v>59</v>
      </c>
      <c r="G9" s="8" t="s">
        <v>296</v>
      </c>
      <c r="H9" s="8" t="s">
        <v>296</v>
      </c>
      <c r="I9" s="8" t="s">
        <v>296</v>
      </c>
      <c r="J9" s="8" t="s">
        <v>298</v>
      </c>
      <c r="K9" s="8" t="s">
        <v>298</v>
      </c>
      <c r="L9" s="9"/>
      <c r="M9" s="8"/>
      <c r="N9" s="10"/>
    </row>
    <row r="10" spans="1:14" ht="25.5" customHeight="1">
      <c r="A10" s="2">
        <v>8</v>
      </c>
      <c r="B10" s="6" t="s">
        <v>138</v>
      </c>
      <c r="C10" s="6" t="s">
        <v>141</v>
      </c>
      <c r="D10" s="2" t="s">
        <v>140</v>
      </c>
      <c r="E10" s="2" t="s">
        <v>58</v>
      </c>
      <c r="F10" s="2" t="s">
        <v>59</v>
      </c>
      <c r="G10" s="8" t="s">
        <v>296</v>
      </c>
      <c r="H10" s="8" t="s">
        <v>296</v>
      </c>
      <c r="I10" s="8" t="s">
        <v>296</v>
      </c>
      <c r="J10" s="8" t="s">
        <v>298</v>
      </c>
      <c r="K10" s="8" t="s">
        <v>298</v>
      </c>
      <c r="L10" s="9"/>
      <c r="M10" s="8"/>
      <c r="N10" s="10"/>
    </row>
    <row r="11" spans="1:14" ht="25.5" customHeight="1">
      <c r="A11" s="2">
        <v>9</v>
      </c>
      <c r="B11" s="6" t="s">
        <v>138</v>
      </c>
      <c r="C11" s="6" t="s">
        <v>142</v>
      </c>
      <c r="D11" s="2" t="s">
        <v>140</v>
      </c>
      <c r="E11" s="2" t="s">
        <v>58</v>
      </c>
      <c r="F11" s="2" t="s">
        <v>59</v>
      </c>
      <c r="G11" s="8" t="s">
        <v>296</v>
      </c>
      <c r="H11" s="8" t="s">
        <v>296</v>
      </c>
      <c r="I11" s="8" t="s">
        <v>296</v>
      </c>
      <c r="J11" s="8" t="s">
        <v>298</v>
      </c>
      <c r="K11" s="8" t="s">
        <v>298</v>
      </c>
      <c r="L11" s="9"/>
      <c r="M11" s="8"/>
      <c r="N11" s="10"/>
    </row>
    <row r="12" spans="1:14" ht="25.5" customHeight="1">
      <c r="A12" s="2">
        <v>10</v>
      </c>
      <c r="B12" s="6" t="s">
        <v>138</v>
      </c>
      <c r="C12" s="6" t="s">
        <v>143</v>
      </c>
      <c r="D12" s="2" t="s">
        <v>140</v>
      </c>
      <c r="E12" s="2" t="s">
        <v>58</v>
      </c>
      <c r="F12" s="2" t="s">
        <v>59</v>
      </c>
      <c r="G12" s="8" t="s">
        <v>296</v>
      </c>
      <c r="H12" s="8" t="s">
        <v>296</v>
      </c>
      <c r="I12" s="8" t="s">
        <v>296</v>
      </c>
      <c r="J12" s="8" t="s">
        <v>298</v>
      </c>
      <c r="K12" s="8" t="s">
        <v>298</v>
      </c>
      <c r="L12" s="9"/>
      <c r="M12" s="8"/>
      <c r="N12" s="10"/>
    </row>
    <row r="13" spans="1:14" ht="25.5" customHeight="1">
      <c r="A13" s="2">
        <v>11</v>
      </c>
      <c r="B13" s="6" t="s">
        <v>138</v>
      </c>
      <c r="C13" s="6" t="s">
        <v>144</v>
      </c>
      <c r="D13" s="2" t="s">
        <v>140</v>
      </c>
      <c r="E13" s="2" t="s">
        <v>58</v>
      </c>
      <c r="F13" s="2" t="s">
        <v>59</v>
      </c>
      <c r="G13" s="8" t="s">
        <v>296</v>
      </c>
      <c r="H13" s="8" t="s">
        <v>296</v>
      </c>
      <c r="I13" s="8" t="s">
        <v>296</v>
      </c>
      <c r="J13" s="8" t="s">
        <v>298</v>
      </c>
      <c r="K13" s="8" t="s">
        <v>298</v>
      </c>
      <c r="L13" s="9"/>
      <c r="M13" s="8"/>
      <c r="N13" s="10"/>
    </row>
    <row r="14" spans="1:14" ht="25.5" customHeight="1">
      <c r="A14" s="2">
        <v>12</v>
      </c>
      <c r="B14" s="6" t="s">
        <v>138</v>
      </c>
      <c r="C14" s="6" t="s">
        <v>145</v>
      </c>
      <c r="D14" s="2" t="s">
        <v>140</v>
      </c>
      <c r="E14" s="2" t="s">
        <v>65</v>
      </c>
      <c r="F14" s="2" t="s">
        <v>59</v>
      </c>
      <c r="G14" s="8" t="s">
        <v>296</v>
      </c>
      <c r="H14" s="8" t="s">
        <v>296</v>
      </c>
      <c r="I14" s="8" t="s">
        <v>296</v>
      </c>
      <c r="J14" s="8" t="s">
        <v>298</v>
      </c>
      <c r="K14" s="8" t="s">
        <v>298</v>
      </c>
      <c r="L14" s="9"/>
      <c r="M14" s="8"/>
      <c r="N14" s="10"/>
    </row>
    <row r="15" spans="1:14" ht="25.5" customHeight="1">
      <c r="A15" s="2">
        <v>13</v>
      </c>
      <c r="B15" s="6" t="s">
        <v>138</v>
      </c>
      <c r="C15" s="6" t="s">
        <v>146</v>
      </c>
      <c r="D15" s="2" t="s">
        <v>140</v>
      </c>
      <c r="E15" s="2" t="s">
        <v>65</v>
      </c>
      <c r="F15" s="2" t="s">
        <v>59</v>
      </c>
      <c r="G15" s="8" t="s">
        <v>296</v>
      </c>
      <c r="H15" s="8" t="s">
        <v>296</v>
      </c>
      <c r="I15" s="8" t="s">
        <v>296</v>
      </c>
      <c r="J15" s="8" t="s">
        <v>298</v>
      </c>
      <c r="K15" s="8" t="s">
        <v>298</v>
      </c>
      <c r="L15" s="9"/>
      <c r="M15" s="8"/>
      <c r="N15" s="10"/>
    </row>
    <row r="16" spans="1:14" ht="25.5" customHeight="1">
      <c r="A16" s="2">
        <v>14</v>
      </c>
      <c r="B16" s="6" t="s">
        <v>138</v>
      </c>
      <c r="C16" s="6" t="s">
        <v>147</v>
      </c>
      <c r="D16" s="2" t="s">
        <v>140</v>
      </c>
      <c r="E16" s="2" t="s">
        <v>65</v>
      </c>
      <c r="F16" s="2" t="s">
        <v>59</v>
      </c>
      <c r="G16" s="8" t="s">
        <v>296</v>
      </c>
      <c r="H16" s="8" t="s">
        <v>296</v>
      </c>
      <c r="I16" s="8" t="s">
        <v>296</v>
      </c>
      <c r="J16" s="8" t="s">
        <v>298</v>
      </c>
      <c r="K16" s="8" t="s">
        <v>298</v>
      </c>
      <c r="L16" s="9"/>
      <c r="M16" s="8"/>
      <c r="N16" s="10"/>
    </row>
    <row r="17" spans="1:14" ht="25.5" customHeight="1">
      <c r="A17" s="2">
        <v>15</v>
      </c>
      <c r="B17" s="6" t="s">
        <v>148</v>
      </c>
      <c r="C17" s="6" t="s">
        <v>149</v>
      </c>
      <c r="D17" s="2" t="s">
        <v>150</v>
      </c>
      <c r="E17" s="2" t="s">
        <v>58</v>
      </c>
      <c r="F17" s="2" t="s">
        <v>59</v>
      </c>
      <c r="G17" s="8" t="s">
        <v>296</v>
      </c>
      <c r="H17" s="8" t="s">
        <v>296</v>
      </c>
      <c r="I17" s="8" t="s">
        <v>296</v>
      </c>
      <c r="J17" s="8" t="s">
        <v>298</v>
      </c>
      <c r="K17" s="8" t="s">
        <v>298</v>
      </c>
      <c r="L17" s="9"/>
      <c r="M17" s="8"/>
      <c r="N17" s="10"/>
    </row>
    <row r="18" spans="1:14" ht="25.5" customHeight="1">
      <c r="A18" s="2">
        <v>16</v>
      </c>
      <c r="B18" s="6" t="s">
        <v>148</v>
      </c>
      <c r="C18" s="6" t="s">
        <v>151</v>
      </c>
      <c r="D18" s="2" t="s">
        <v>150</v>
      </c>
      <c r="E18" s="2" t="s">
        <v>65</v>
      </c>
      <c r="F18" s="2" t="s">
        <v>68</v>
      </c>
      <c r="G18" s="8" t="s">
        <v>296</v>
      </c>
      <c r="H18" s="8" t="s">
        <v>296</v>
      </c>
      <c r="I18" s="8" t="s">
        <v>296</v>
      </c>
      <c r="J18" s="8" t="s">
        <v>298</v>
      </c>
      <c r="K18" s="8" t="s">
        <v>298</v>
      </c>
      <c r="L18" s="9"/>
      <c r="M18" s="8"/>
      <c r="N18" s="10"/>
    </row>
    <row r="19" spans="1:14" ht="25.5" customHeight="1">
      <c r="A19" s="2">
        <v>17</v>
      </c>
      <c r="B19" s="6" t="s">
        <v>148</v>
      </c>
      <c r="C19" s="6" t="s">
        <v>152</v>
      </c>
      <c r="D19" s="2" t="s">
        <v>150</v>
      </c>
      <c r="E19" s="2" t="s">
        <v>58</v>
      </c>
      <c r="F19" s="2" t="s">
        <v>68</v>
      </c>
      <c r="G19" s="8" t="s">
        <v>296</v>
      </c>
      <c r="H19" s="8" t="s">
        <v>296</v>
      </c>
      <c r="I19" s="8" t="s">
        <v>296</v>
      </c>
      <c r="J19" s="8" t="s">
        <v>298</v>
      </c>
      <c r="K19" s="8" t="s">
        <v>298</v>
      </c>
      <c r="L19" s="9"/>
      <c r="M19" s="8"/>
      <c r="N19" s="10"/>
    </row>
    <row r="20" spans="1:14" ht="25.5" customHeight="1">
      <c r="A20" s="2">
        <v>18</v>
      </c>
      <c r="B20" s="6" t="s">
        <v>148</v>
      </c>
      <c r="C20" s="6" t="s">
        <v>153</v>
      </c>
      <c r="D20" s="2" t="s">
        <v>150</v>
      </c>
      <c r="E20" s="2" t="s">
        <v>65</v>
      </c>
      <c r="F20" s="2" t="s">
        <v>59</v>
      </c>
      <c r="G20" s="8" t="s">
        <v>296</v>
      </c>
      <c r="H20" s="8" t="s">
        <v>296</v>
      </c>
      <c r="I20" s="8" t="s">
        <v>296</v>
      </c>
      <c r="J20" s="8" t="s">
        <v>298</v>
      </c>
      <c r="K20" s="8" t="s">
        <v>298</v>
      </c>
      <c r="L20" s="9"/>
      <c r="M20" s="8"/>
      <c r="N20" s="10"/>
    </row>
    <row r="21" spans="1:14" ht="25.5" customHeight="1">
      <c r="A21" s="2">
        <v>19</v>
      </c>
      <c r="B21" s="6" t="s">
        <v>148</v>
      </c>
      <c r="C21" s="6" t="s">
        <v>154</v>
      </c>
      <c r="D21" s="2" t="s">
        <v>150</v>
      </c>
      <c r="E21" s="2" t="s">
        <v>65</v>
      </c>
      <c r="F21" s="2" t="s">
        <v>59</v>
      </c>
      <c r="G21" s="8" t="s">
        <v>296</v>
      </c>
      <c r="H21" s="8" t="s">
        <v>296</v>
      </c>
      <c r="I21" s="8" t="s">
        <v>296</v>
      </c>
      <c r="J21" s="8" t="s">
        <v>298</v>
      </c>
      <c r="K21" s="8" t="s">
        <v>298</v>
      </c>
      <c r="L21" s="9"/>
      <c r="M21" s="8"/>
      <c r="N21" s="10"/>
    </row>
    <row r="22" spans="1:14" ht="25.5" customHeight="1">
      <c r="A22" s="2">
        <v>20</v>
      </c>
      <c r="B22" s="6" t="s">
        <v>155</v>
      </c>
      <c r="C22" s="6" t="s">
        <v>156</v>
      </c>
      <c r="D22" s="2" t="s">
        <v>157</v>
      </c>
      <c r="E22" s="2" t="s">
        <v>58</v>
      </c>
      <c r="F22" s="2" t="s">
        <v>59</v>
      </c>
      <c r="G22" s="8" t="s">
        <v>296</v>
      </c>
      <c r="H22" s="8" t="s">
        <v>296</v>
      </c>
      <c r="I22" s="8" t="s">
        <v>296</v>
      </c>
      <c r="J22" s="8" t="s">
        <v>298</v>
      </c>
      <c r="K22" s="8" t="s">
        <v>298</v>
      </c>
      <c r="L22" s="9"/>
      <c r="M22" s="8"/>
      <c r="N22" s="10"/>
    </row>
    <row r="23" spans="1:14" ht="25.5" customHeight="1">
      <c r="A23" s="2">
        <v>21</v>
      </c>
      <c r="B23" s="6" t="s">
        <v>155</v>
      </c>
      <c r="C23" s="6" t="s">
        <v>158</v>
      </c>
      <c r="D23" s="2" t="s">
        <v>157</v>
      </c>
      <c r="E23" s="2" t="s">
        <v>58</v>
      </c>
      <c r="F23" s="2" t="s">
        <v>59</v>
      </c>
      <c r="G23" s="8" t="s">
        <v>296</v>
      </c>
      <c r="H23" s="8" t="s">
        <v>296</v>
      </c>
      <c r="I23" s="8" t="s">
        <v>296</v>
      </c>
      <c r="J23" s="8" t="s">
        <v>298</v>
      </c>
      <c r="K23" s="8" t="s">
        <v>298</v>
      </c>
      <c r="L23" s="9"/>
      <c r="M23" s="8"/>
      <c r="N23" s="10"/>
    </row>
    <row r="24" spans="1:14" ht="25.5" customHeight="1">
      <c r="A24" s="2">
        <v>22</v>
      </c>
      <c r="B24" s="6" t="s">
        <v>155</v>
      </c>
      <c r="C24" s="6" t="s">
        <v>159</v>
      </c>
      <c r="D24" s="2" t="s">
        <v>157</v>
      </c>
      <c r="E24" s="2" t="s">
        <v>58</v>
      </c>
      <c r="F24" s="2" t="s">
        <v>59</v>
      </c>
      <c r="G24" s="8" t="s">
        <v>296</v>
      </c>
      <c r="H24" s="8" t="s">
        <v>296</v>
      </c>
      <c r="I24" s="8" t="s">
        <v>296</v>
      </c>
      <c r="J24" s="8" t="s">
        <v>298</v>
      </c>
      <c r="K24" s="8" t="s">
        <v>298</v>
      </c>
      <c r="L24" s="9"/>
      <c r="M24" s="8"/>
      <c r="N24" s="10"/>
    </row>
    <row r="25" spans="1:14" ht="25.5" customHeight="1">
      <c r="A25" s="2">
        <v>23</v>
      </c>
      <c r="B25" s="6" t="s">
        <v>155</v>
      </c>
      <c r="C25" s="6" t="s">
        <v>160</v>
      </c>
      <c r="D25" s="2" t="s">
        <v>157</v>
      </c>
      <c r="E25" s="2" t="s">
        <v>58</v>
      </c>
      <c r="F25" s="2" t="s">
        <v>59</v>
      </c>
      <c r="G25" s="8" t="s">
        <v>296</v>
      </c>
      <c r="H25" s="8" t="s">
        <v>296</v>
      </c>
      <c r="I25" s="8" t="s">
        <v>296</v>
      </c>
      <c r="J25" s="8" t="s">
        <v>298</v>
      </c>
      <c r="K25" s="8" t="s">
        <v>298</v>
      </c>
      <c r="L25" s="9"/>
      <c r="M25" s="8"/>
      <c r="N25" s="10"/>
    </row>
    <row r="26" spans="1:14" ht="25.5" customHeight="1">
      <c r="A26" s="2">
        <v>24</v>
      </c>
      <c r="B26" s="6" t="s">
        <v>155</v>
      </c>
      <c r="C26" s="6" t="s">
        <v>161</v>
      </c>
      <c r="D26" s="2" t="s">
        <v>157</v>
      </c>
      <c r="E26" s="2" t="s">
        <v>58</v>
      </c>
      <c r="F26" s="2" t="s">
        <v>59</v>
      </c>
      <c r="G26" s="8" t="s">
        <v>296</v>
      </c>
      <c r="H26" s="8" t="s">
        <v>296</v>
      </c>
      <c r="I26" s="8" t="s">
        <v>296</v>
      </c>
      <c r="J26" s="8" t="s">
        <v>298</v>
      </c>
      <c r="K26" s="8" t="s">
        <v>298</v>
      </c>
      <c r="L26" s="9"/>
      <c r="M26" s="8"/>
      <c r="N26" s="10"/>
    </row>
    <row r="27" spans="1:14" ht="25.5" customHeight="1">
      <c r="A27" s="2">
        <v>25</v>
      </c>
      <c r="B27" s="6" t="s">
        <v>155</v>
      </c>
      <c r="C27" s="6" t="s">
        <v>162</v>
      </c>
      <c r="D27" s="2" t="s">
        <v>157</v>
      </c>
      <c r="E27" s="2" t="s">
        <v>58</v>
      </c>
      <c r="F27" s="2" t="s">
        <v>59</v>
      </c>
      <c r="G27" s="8" t="s">
        <v>296</v>
      </c>
      <c r="H27" s="8" t="s">
        <v>296</v>
      </c>
      <c r="I27" s="8" t="s">
        <v>296</v>
      </c>
      <c r="J27" s="8" t="s">
        <v>298</v>
      </c>
      <c r="K27" s="8" t="s">
        <v>298</v>
      </c>
      <c r="L27" s="9"/>
      <c r="M27" s="8"/>
      <c r="N27" s="10"/>
    </row>
    <row r="28" spans="1:14" ht="25.5" customHeight="1">
      <c r="A28" s="2">
        <v>26</v>
      </c>
      <c r="B28" s="6" t="s">
        <v>155</v>
      </c>
      <c r="C28" s="6" t="s">
        <v>163</v>
      </c>
      <c r="D28" s="2" t="s">
        <v>157</v>
      </c>
      <c r="E28" s="2" t="s">
        <v>58</v>
      </c>
      <c r="F28" s="2" t="s">
        <v>59</v>
      </c>
      <c r="G28" s="8" t="s">
        <v>296</v>
      </c>
      <c r="H28" s="8" t="s">
        <v>296</v>
      </c>
      <c r="I28" s="8" t="s">
        <v>296</v>
      </c>
      <c r="J28" s="8" t="s">
        <v>298</v>
      </c>
      <c r="K28" s="8" t="s">
        <v>298</v>
      </c>
      <c r="L28" s="9"/>
      <c r="M28" s="8"/>
      <c r="N28" s="10"/>
    </row>
    <row r="29" spans="1:14" ht="25.5" customHeight="1">
      <c r="A29" s="2">
        <v>27</v>
      </c>
      <c r="B29" s="6" t="s">
        <v>155</v>
      </c>
      <c r="C29" s="6" t="s">
        <v>164</v>
      </c>
      <c r="D29" s="2" t="s">
        <v>157</v>
      </c>
      <c r="E29" s="2" t="s">
        <v>65</v>
      </c>
      <c r="F29" s="2" t="s">
        <v>59</v>
      </c>
      <c r="G29" s="8" t="s">
        <v>296</v>
      </c>
      <c r="H29" s="8" t="s">
        <v>296</v>
      </c>
      <c r="I29" s="8" t="s">
        <v>296</v>
      </c>
      <c r="J29" s="8" t="s">
        <v>298</v>
      </c>
      <c r="K29" s="8" t="s">
        <v>298</v>
      </c>
      <c r="L29" s="9"/>
      <c r="M29" s="8"/>
      <c r="N29" s="10"/>
    </row>
    <row r="30" spans="1:14" ht="25.5" customHeight="1">
      <c r="A30" s="2">
        <v>28</v>
      </c>
      <c r="B30" s="6" t="s">
        <v>155</v>
      </c>
      <c r="C30" s="6" t="s">
        <v>165</v>
      </c>
      <c r="D30" s="2" t="s">
        <v>157</v>
      </c>
      <c r="E30" s="2" t="s">
        <v>58</v>
      </c>
      <c r="F30" s="2" t="s">
        <v>68</v>
      </c>
      <c r="G30" s="8" t="s">
        <v>296</v>
      </c>
      <c r="H30" s="8" t="s">
        <v>296</v>
      </c>
      <c r="I30" s="8" t="s">
        <v>296</v>
      </c>
      <c r="J30" s="8" t="s">
        <v>298</v>
      </c>
      <c r="K30" s="8" t="s">
        <v>298</v>
      </c>
      <c r="L30" s="9"/>
      <c r="M30" s="8"/>
      <c r="N30" s="10"/>
    </row>
    <row r="31" spans="1:14" ht="25.5" customHeight="1">
      <c r="A31" s="2">
        <v>29</v>
      </c>
      <c r="B31" s="6" t="s">
        <v>155</v>
      </c>
      <c r="C31" s="6" t="s">
        <v>166</v>
      </c>
      <c r="D31" s="2" t="s">
        <v>157</v>
      </c>
      <c r="E31" s="2" t="s">
        <v>58</v>
      </c>
      <c r="F31" s="2" t="s">
        <v>68</v>
      </c>
      <c r="G31" s="8" t="s">
        <v>296</v>
      </c>
      <c r="H31" s="8" t="s">
        <v>296</v>
      </c>
      <c r="I31" s="8" t="s">
        <v>296</v>
      </c>
      <c r="J31" s="8" t="s">
        <v>298</v>
      </c>
      <c r="K31" s="8" t="s">
        <v>298</v>
      </c>
      <c r="L31" s="9"/>
      <c r="M31" s="8"/>
      <c r="N31" s="10"/>
    </row>
    <row r="32" spans="1:14" ht="25.5" customHeight="1">
      <c r="A32" s="2">
        <v>30</v>
      </c>
      <c r="B32" s="6" t="s">
        <v>155</v>
      </c>
      <c r="C32" s="6" t="s">
        <v>167</v>
      </c>
      <c r="D32" s="2" t="s">
        <v>157</v>
      </c>
      <c r="E32" s="2" t="s">
        <v>58</v>
      </c>
      <c r="F32" s="2" t="s">
        <v>68</v>
      </c>
      <c r="G32" s="8" t="s">
        <v>296</v>
      </c>
      <c r="H32" s="8" t="s">
        <v>296</v>
      </c>
      <c r="I32" s="8" t="s">
        <v>296</v>
      </c>
      <c r="J32" s="8" t="s">
        <v>298</v>
      </c>
      <c r="K32" s="8" t="s">
        <v>298</v>
      </c>
      <c r="L32" s="9"/>
      <c r="M32" s="8"/>
      <c r="N32" s="10"/>
    </row>
    <row r="33" spans="1:14" ht="25.5" customHeight="1">
      <c r="A33" s="2">
        <v>31</v>
      </c>
      <c r="B33" s="6" t="s">
        <v>155</v>
      </c>
      <c r="C33" s="6" t="s">
        <v>168</v>
      </c>
      <c r="D33" s="2" t="s">
        <v>169</v>
      </c>
      <c r="E33" s="2" t="s">
        <v>65</v>
      </c>
      <c r="F33" s="2" t="s">
        <v>59</v>
      </c>
      <c r="G33" s="8" t="s">
        <v>296</v>
      </c>
      <c r="H33" s="8" t="s">
        <v>296</v>
      </c>
      <c r="I33" s="8" t="s">
        <v>296</v>
      </c>
      <c r="J33" s="8" t="s">
        <v>298</v>
      </c>
      <c r="K33" s="8" t="s">
        <v>298</v>
      </c>
      <c r="L33" s="9"/>
      <c r="M33" s="8"/>
      <c r="N33" s="10"/>
    </row>
  </sheetData>
  <autoFilter ref="A2:N33" xr:uid="{00000000-0009-0000-0000-000004000000}"/>
  <mergeCells count="1">
    <mergeCell ref="A1:N1"/>
  </mergeCells>
  <conditionalFormatting sqref="G3:H33">
    <cfRule type="cellIs" dxfId="99" priority="2" operator="equal">
      <formula>"Completed"</formula>
    </cfRule>
    <cfRule type="cellIs" dxfId="98" priority="3" operator="equal">
      <formula>"In Progress"</formula>
    </cfRule>
    <cfRule type="cellIs" dxfId="97" priority="4" operator="equal">
      <formula>"Dev Complete"</formula>
    </cfRule>
    <cfRule type="cellIs" dxfId="96" priority="5" operator="equal">
      <formula>"Code Review"</formula>
    </cfRule>
    <cfRule type="cellIs" dxfId="95" priority="6" operator="equal">
      <formula>"Blocked"</formula>
    </cfRule>
    <cfRule type="cellIs" dxfId="94" priority="7" operator="equal">
      <formula>"On Hold"</formula>
    </cfRule>
    <cfRule type="cellIs" dxfId="93" priority="8" operator="equal">
      <formula>"Not Applicable"</formula>
    </cfRule>
  </conditionalFormatting>
  <conditionalFormatting sqref="I3:I33">
    <cfRule type="cellIs" dxfId="92" priority="9" operator="equal">
      <formula>"Passed"</formula>
    </cfRule>
    <cfRule type="cellIs" dxfId="91" priority="10" operator="equal">
      <formula>"In Progress"</formula>
    </cfRule>
    <cfRule type="cellIs" dxfId="90" priority="11" operator="equal">
      <formula>"Re-Test"</formula>
    </cfRule>
    <cfRule type="cellIs" dxfId="89" priority="12" operator="equal">
      <formula>"Failed"</formula>
    </cfRule>
    <cfRule type="cellIs" dxfId="88" priority="13" operator="equal">
      <formula>"Blocked"</formula>
    </cfRule>
    <cfRule type="cellIs" dxfId="87" priority="14" operator="equal">
      <formula>"Not Applicable"</formula>
    </cfRule>
  </conditionalFormatting>
  <conditionalFormatting sqref="J3:K33">
    <cfRule type="cellIs" dxfId="86" priority="15" operator="equal">
      <formula>"Deployed"</formula>
    </cfRule>
    <cfRule type="cellIs" dxfId="85" priority="16" operator="equal">
      <formula>"Verified"</formula>
    </cfRule>
    <cfRule type="cellIs" dxfId="84" priority="17" operator="equal">
      <formula>"Ready for Deploy"</formula>
    </cfRule>
    <cfRule type="cellIs" dxfId="83" priority="18" operator="equal">
      <formula>"Deploy Failed"</formula>
    </cfRule>
    <cfRule type="cellIs" dxfId="82" priority="19" operator="equal">
      <formula>"Rolled Back"</formula>
    </cfRule>
    <cfRule type="cellIs" dxfId="81" priority="20" operator="equal">
      <formula>"Not Applicable"</formula>
    </cfRule>
  </conditionalFormatting>
  <conditionalFormatting sqref="F3:F33">
    <cfRule type="cellIs" dxfId="80" priority="21" operator="equal">
      <formula>"High"</formula>
    </cfRule>
    <cfRule type="cellIs" dxfId="79" priority="22" operator="equal">
      <formula>"Medium"</formula>
    </cfRule>
    <cfRule type="cellIs" dxfId="78" priority="23" operator="equal">
      <formula>"Low"</formula>
    </cfRule>
  </conditionalFormatting>
  <dataValidations count="5">
    <dataValidation type="list" allowBlank="1" sqref="E3:E33" xr:uid="{00000000-0002-0000-0400-000000000000}">
      <formula1>Layer</formula1>
      <formula2>0</formula2>
    </dataValidation>
    <dataValidation type="list" allowBlank="1" sqref="F3:F33" xr:uid="{00000000-0002-0000-0400-000001000000}">
      <formula1>Priority</formula1>
      <formula2>0</formula2>
    </dataValidation>
    <dataValidation type="list" allowBlank="1" sqref="G3:H33" xr:uid="{00000000-0002-0000-0400-000002000000}">
      <formula1>DevStatus</formula1>
      <formula2>0</formula2>
    </dataValidation>
    <dataValidation type="list" allowBlank="1" sqref="I3:I33" xr:uid="{00000000-0002-0000-0400-000003000000}">
      <formula1>QAStatus</formula1>
      <formula2>0</formula2>
    </dataValidation>
    <dataValidation type="list" allowBlank="1" sqref="J3:K33" xr:uid="{00000000-0002-0000-0400-000004000000}">
      <formula1>DeployStatus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6"/>
  <sheetViews>
    <sheetView showGridLines="0" zoomScaleNormal="100"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ColWidth="8.7109375" defaultRowHeight="15"/>
  <cols>
    <col min="1" max="1" width="6" customWidth="1"/>
    <col min="2" max="2" width="28" customWidth="1"/>
    <col min="3" max="3" width="48" customWidth="1"/>
    <col min="4" max="4" width="16" customWidth="1"/>
    <col min="5" max="5" width="12" customWidth="1"/>
    <col min="6" max="6" width="10" customWidth="1"/>
    <col min="7" max="8" width="15" customWidth="1"/>
    <col min="9" max="9" width="14" customWidth="1"/>
    <col min="10" max="12" width="16" customWidth="1"/>
    <col min="13" max="13" width="13" customWidth="1"/>
    <col min="14" max="14" width="38" customWidth="1"/>
  </cols>
  <sheetData>
    <row r="1" spans="1:14" ht="24" customHeight="1">
      <c r="A1" s="17" t="s">
        <v>314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27.75" customHeight="1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</row>
    <row r="3" spans="1:14" ht="25.5" customHeight="1">
      <c r="A3" s="2">
        <v>1</v>
      </c>
      <c r="B3" s="6" t="s">
        <v>170</v>
      </c>
      <c r="C3" s="6" t="s">
        <v>171</v>
      </c>
      <c r="D3" s="2" t="s">
        <v>172</v>
      </c>
      <c r="E3" s="2" t="s">
        <v>58</v>
      </c>
      <c r="F3" s="2" t="s">
        <v>59</v>
      </c>
      <c r="G3" s="8" t="s">
        <v>296</v>
      </c>
      <c r="H3" s="8" t="s">
        <v>296</v>
      </c>
      <c r="I3" s="8" t="s">
        <v>296</v>
      </c>
      <c r="J3" s="8" t="s">
        <v>298</v>
      </c>
      <c r="K3" s="8" t="s">
        <v>298</v>
      </c>
      <c r="L3" s="9"/>
      <c r="M3" s="8"/>
      <c r="N3" s="10"/>
    </row>
    <row r="4" spans="1:14" ht="25.5" customHeight="1">
      <c r="A4" s="2">
        <v>2</v>
      </c>
      <c r="B4" s="6" t="s">
        <v>170</v>
      </c>
      <c r="C4" s="6" t="s">
        <v>173</v>
      </c>
      <c r="D4" s="2" t="s">
        <v>172</v>
      </c>
      <c r="E4" s="2" t="s">
        <v>65</v>
      </c>
      <c r="F4" s="2" t="s">
        <v>59</v>
      </c>
      <c r="G4" s="8" t="s">
        <v>296</v>
      </c>
      <c r="H4" s="8" t="s">
        <v>296</v>
      </c>
      <c r="I4" s="8" t="s">
        <v>296</v>
      </c>
      <c r="J4" s="8" t="s">
        <v>298</v>
      </c>
      <c r="K4" s="8" t="s">
        <v>298</v>
      </c>
      <c r="L4" s="9"/>
      <c r="M4" s="8"/>
      <c r="N4" s="10"/>
    </row>
    <row r="5" spans="1:14" ht="25.5" customHeight="1">
      <c r="A5" s="2">
        <v>3</v>
      </c>
      <c r="B5" s="6" t="s">
        <v>170</v>
      </c>
      <c r="C5" s="6" t="s">
        <v>174</v>
      </c>
      <c r="D5" s="2" t="s">
        <v>172</v>
      </c>
      <c r="E5" s="2" t="s">
        <v>58</v>
      </c>
      <c r="F5" s="2" t="s">
        <v>68</v>
      </c>
      <c r="G5" s="8" t="s">
        <v>296</v>
      </c>
      <c r="H5" s="8" t="s">
        <v>296</v>
      </c>
      <c r="I5" s="8" t="s">
        <v>296</v>
      </c>
      <c r="J5" s="8" t="s">
        <v>298</v>
      </c>
      <c r="K5" s="8" t="s">
        <v>298</v>
      </c>
      <c r="L5" s="9"/>
      <c r="M5" s="8"/>
      <c r="N5" s="10"/>
    </row>
    <row r="6" spans="1:14" ht="25.5" customHeight="1">
      <c r="A6" s="2">
        <v>4</v>
      </c>
      <c r="B6" s="6" t="s">
        <v>170</v>
      </c>
      <c r="C6" s="6" t="s">
        <v>175</v>
      </c>
      <c r="D6" s="2" t="s">
        <v>172</v>
      </c>
      <c r="E6" s="2" t="s">
        <v>58</v>
      </c>
      <c r="F6" s="2" t="s">
        <v>59</v>
      </c>
      <c r="G6" s="8" t="s">
        <v>296</v>
      </c>
      <c r="H6" s="8" t="s">
        <v>296</v>
      </c>
      <c r="I6" s="8" t="s">
        <v>296</v>
      </c>
      <c r="J6" s="8" t="s">
        <v>298</v>
      </c>
      <c r="K6" s="8" t="s">
        <v>298</v>
      </c>
      <c r="L6" s="9"/>
      <c r="M6" s="8"/>
      <c r="N6" s="10"/>
    </row>
    <row r="7" spans="1:14" ht="25.5" customHeight="1">
      <c r="A7" s="2">
        <v>5</v>
      </c>
      <c r="B7" s="6" t="s">
        <v>170</v>
      </c>
      <c r="C7" s="6" t="s">
        <v>176</v>
      </c>
      <c r="D7" s="2" t="s">
        <v>172</v>
      </c>
      <c r="E7" s="2" t="s">
        <v>65</v>
      </c>
      <c r="F7" s="2" t="s">
        <v>59</v>
      </c>
      <c r="G7" s="8" t="s">
        <v>296</v>
      </c>
      <c r="H7" s="8" t="s">
        <v>296</v>
      </c>
      <c r="I7" s="8" t="s">
        <v>296</v>
      </c>
      <c r="J7" s="8" t="s">
        <v>298</v>
      </c>
      <c r="K7" s="8" t="s">
        <v>298</v>
      </c>
      <c r="L7" s="9"/>
      <c r="M7" s="8"/>
      <c r="N7" s="10"/>
    </row>
    <row r="8" spans="1:14" ht="25.5" customHeight="1">
      <c r="A8" s="2">
        <v>6</v>
      </c>
      <c r="B8" s="6" t="s">
        <v>177</v>
      </c>
      <c r="C8" s="6" t="s">
        <v>178</v>
      </c>
      <c r="D8" s="2" t="s">
        <v>179</v>
      </c>
      <c r="E8" s="2" t="s">
        <v>58</v>
      </c>
      <c r="F8" s="2" t="s">
        <v>59</v>
      </c>
      <c r="G8" s="8" t="s">
        <v>296</v>
      </c>
      <c r="H8" s="8" t="s">
        <v>296</v>
      </c>
      <c r="I8" s="8" t="s">
        <v>296</v>
      </c>
      <c r="J8" s="8" t="s">
        <v>298</v>
      </c>
      <c r="K8" s="8" t="s">
        <v>298</v>
      </c>
      <c r="L8" s="9"/>
      <c r="M8" s="8"/>
      <c r="N8" s="10"/>
    </row>
    <row r="9" spans="1:14" ht="25.5" customHeight="1">
      <c r="A9" s="2">
        <v>7</v>
      </c>
      <c r="B9" s="6" t="s">
        <v>177</v>
      </c>
      <c r="C9" s="6" t="s">
        <v>180</v>
      </c>
      <c r="D9" s="2" t="s">
        <v>179</v>
      </c>
      <c r="E9" s="2" t="s">
        <v>58</v>
      </c>
      <c r="F9" s="2" t="s">
        <v>59</v>
      </c>
      <c r="G9" s="8" t="s">
        <v>296</v>
      </c>
      <c r="H9" s="8" t="s">
        <v>296</v>
      </c>
      <c r="I9" s="8" t="s">
        <v>296</v>
      </c>
      <c r="J9" s="8" t="s">
        <v>298</v>
      </c>
      <c r="K9" s="8" t="s">
        <v>298</v>
      </c>
      <c r="L9" s="9"/>
      <c r="M9" s="8"/>
      <c r="N9" s="10"/>
    </row>
    <row r="10" spans="1:14" ht="25.5" customHeight="1">
      <c r="A10" s="2">
        <v>8</v>
      </c>
      <c r="B10" s="6" t="s">
        <v>177</v>
      </c>
      <c r="C10" s="6" t="s">
        <v>181</v>
      </c>
      <c r="D10" s="2" t="s">
        <v>179</v>
      </c>
      <c r="E10" s="2" t="s">
        <v>58</v>
      </c>
      <c r="F10" s="2" t="s">
        <v>68</v>
      </c>
      <c r="G10" s="8" t="s">
        <v>296</v>
      </c>
      <c r="H10" s="8" t="s">
        <v>296</v>
      </c>
      <c r="I10" s="8" t="s">
        <v>296</v>
      </c>
      <c r="J10" s="8" t="s">
        <v>298</v>
      </c>
      <c r="K10" s="8" t="s">
        <v>298</v>
      </c>
      <c r="L10" s="9"/>
      <c r="M10" s="8"/>
      <c r="N10" s="10"/>
    </row>
    <row r="11" spans="1:14" ht="25.5" customHeight="1">
      <c r="A11" s="2">
        <v>9</v>
      </c>
      <c r="B11" s="6" t="s">
        <v>182</v>
      </c>
      <c r="C11" s="6" t="s">
        <v>183</v>
      </c>
      <c r="D11" s="2" t="s">
        <v>184</v>
      </c>
      <c r="E11" s="2" t="s">
        <v>65</v>
      </c>
      <c r="F11" s="2" t="s">
        <v>59</v>
      </c>
      <c r="G11" s="8" t="s">
        <v>296</v>
      </c>
      <c r="H11" s="8" t="s">
        <v>296</v>
      </c>
      <c r="I11" s="8" t="s">
        <v>296</v>
      </c>
      <c r="J11" s="8" t="s">
        <v>298</v>
      </c>
      <c r="K11" s="8" t="s">
        <v>298</v>
      </c>
      <c r="L11" s="9"/>
      <c r="M11" s="8"/>
      <c r="N11" s="10"/>
    </row>
    <row r="12" spans="1:14" ht="25.5" customHeight="1">
      <c r="A12" s="2">
        <v>10</v>
      </c>
      <c r="B12" s="6" t="s">
        <v>182</v>
      </c>
      <c r="C12" s="6" t="s">
        <v>185</v>
      </c>
      <c r="D12" s="2" t="s">
        <v>184</v>
      </c>
      <c r="E12" s="2" t="s">
        <v>65</v>
      </c>
      <c r="F12" s="2" t="s">
        <v>59</v>
      </c>
      <c r="G12" s="8" t="s">
        <v>296</v>
      </c>
      <c r="H12" s="8" t="s">
        <v>296</v>
      </c>
      <c r="I12" s="8" t="s">
        <v>296</v>
      </c>
      <c r="J12" s="8" t="s">
        <v>298</v>
      </c>
      <c r="K12" s="8" t="s">
        <v>298</v>
      </c>
      <c r="L12" s="9"/>
      <c r="M12" s="8"/>
      <c r="N12" s="10"/>
    </row>
    <row r="13" spans="1:14" ht="25.5" customHeight="1">
      <c r="A13" s="2">
        <v>11</v>
      </c>
      <c r="B13" s="6" t="s">
        <v>182</v>
      </c>
      <c r="C13" s="6" t="s">
        <v>186</v>
      </c>
      <c r="D13" s="2" t="s">
        <v>184</v>
      </c>
      <c r="E13" s="2" t="s">
        <v>58</v>
      </c>
      <c r="F13" s="2" t="s">
        <v>59</v>
      </c>
      <c r="G13" s="8" t="s">
        <v>296</v>
      </c>
      <c r="H13" s="8" t="s">
        <v>296</v>
      </c>
      <c r="I13" s="8" t="s">
        <v>296</v>
      </c>
      <c r="J13" s="8" t="s">
        <v>298</v>
      </c>
      <c r="K13" s="8" t="s">
        <v>298</v>
      </c>
      <c r="L13" s="9"/>
      <c r="M13" s="8"/>
      <c r="N13" s="10"/>
    </row>
    <row r="14" spans="1:14" ht="25.5" customHeight="1">
      <c r="A14" s="2">
        <v>12</v>
      </c>
      <c r="B14" s="6" t="s">
        <v>182</v>
      </c>
      <c r="C14" s="6" t="s">
        <v>187</v>
      </c>
      <c r="D14" s="2" t="s">
        <v>184</v>
      </c>
      <c r="E14" s="2" t="s">
        <v>65</v>
      </c>
      <c r="F14" s="2" t="s">
        <v>59</v>
      </c>
      <c r="G14" s="8" t="s">
        <v>296</v>
      </c>
      <c r="H14" s="8" t="s">
        <v>296</v>
      </c>
      <c r="I14" s="8" t="s">
        <v>296</v>
      </c>
      <c r="J14" s="8" t="s">
        <v>298</v>
      </c>
      <c r="K14" s="8" t="s">
        <v>298</v>
      </c>
      <c r="L14" s="9"/>
      <c r="M14" s="8"/>
      <c r="N14" s="10"/>
    </row>
    <row r="15" spans="1:14" ht="25.5" customHeight="1">
      <c r="A15" s="2">
        <v>13</v>
      </c>
      <c r="B15" s="6" t="s">
        <v>182</v>
      </c>
      <c r="C15" s="6" t="s">
        <v>188</v>
      </c>
      <c r="D15" s="2" t="s">
        <v>184</v>
      </c>
      <c r="E15" s="2" t="s">
        <v>65</v>
      </c>
      <c r="F15" s="2" t="s">
        <v>59</v>
      </c>
      <c r="G15" s="8" t="s">
        <v>296</v>
      </c>
      <c r="H15" s="8" t="s">
        <v>296</v>
      </c>
      <c r="I15" s="8" t="s">
        <v>296</v>
      </c>
      <c r="J15" s="8" t="s">
        <v>298</v>
      </c>
      <c r="K15" s="8" t="s">
        <v>298</v>
      </c>
      <c r="L15" s="9"/>
      <c r="M15" s="8"/>
      <c r="N15" s="10"/>
    </row>
    <row r="16" spans="1:14" ht="25.5" customHeight="1">
      <c r="A16" s="2">
        <v>14</v>
      </c>
      <c r="B16" s="6" t="s">
        <v>182</v>
      </c>
      <c r="C16" s="6" t="s">
        <v>189</v>
      </c>
      <c r="D16" s="2" t="s">
        <v>184</v>
      </c>
      <c r="E16" s="2" t="s">
        <v>58</v>
      </c>
      <c r="F16" s="2" t="s">
        <v>59</v>
      </c>
      <c r="G16" s="8" t="s">
        <v>296</v>
      </c>
      <c r="H16" s="8" t="s">
        <v>296</v>
      </c>
      <c r="I16" s="8" t="s">
        <v>296</v>
      </c>
      <c r="J16" s="8" t="s">
        <v>298</v>
      </c>
      <c r="K16" s="8" t="s">
        <v>298</v>
      </c>
      <c r="L16" s="9"/>
      <c r="M16" s="8"/>
      <c r="N16" s="10"/>
    </row>
    <row r="17" spans="1:14" ht="25.5" customHeight="1">
      <c r="A17" s="2">
        <v>15</v>
      </c>
      <c r="B17" s="6" t="s">
        <v>182</v>
      </c>
      <c r="C17" s="6" t="s">
        <v>190</v>
      </c>
      <c r="D17" s="2" t="s">
        <v>184</v>
      </c>
      <c r="E17" s="2" t="s">
        <v>65</v>
      </c>
      <c r="F17" s="2" t="s">
        <v>68</v>
      </c>
      <c r="G17" s="8" t="s">
        <v>296</v>
      </c>
      <c r="H17" s="8" t="s">
        <v>296</v>
      </c>
      <c r="I17" s="8" t="s">
        <v>296</v>
      </c>
      <c r="J17" s="8" t="s">
        <v>298</v>
      </c>
      <c r="K17" s="8" t="s">
        <v>298</v>
      </c>
      <c r="L17" s="9"/>
      <c r="M17" s="8"/>
      <c r="N17" s="10"/>
    </row>
    <row r="18" spans="1:14" ht="25.5" customHeight="1">
      <c r="A18" s="2">
        <v>16</v>
      </c>
      <c r="B18" s="6" t="s">
        <v>191</v>
      </c>
      <c r="C18" s="6" t="s">
        <v>192</v>
      </c>
      <c r="D18" s="2" t="s">
        <v>193</v>
      </c>
      <c r="E18" s="2" t="s">
        <v>58</v>
      </c>
      <c r="F18" s="2" t="s">
        <v>59</v>
      </c>
      <c r="G18" s="8" t="s">
        <v>296</v>
      </c>
      <c r="H18" s="8" t="s">
        <v>296</v>
      </c>
      <c r="I18" s="8" t="s">
        <v>296</v>
      </c>
      <c r="J18" s="8" t="s">
        <v>298</v>
      </c>
      <c r="K18" s="8" t="s">
        <v>298</v>
      </c>
      <c r="L18" s="9"/>
      <c r="M18" s="8"/>
      <c r="N18" s="10"/>
    </row>
    <row r="19" spans="1:14" ht="25.5" customHeight="1">
      <c r="A19" s="2">
        <v>17</v>
      </c>
      <c r="B19" s="6" t="s">
        <v>191</v>
      </c>
      <c r="C19" s="6" t="s">
        <v>194</v>
      </c>
      <c r="D19" s="2" t="s">
        <v>193</v>
      </c>
      <c r="E19" s="2" t="s">
        <v>58</v>
      </c>
      <c r="F19" s="2" t="s">
        <v>59</v>
      </c>
      <c r="G19" s="8" t="s">
        <v>296</v>
      </c>
      <c r="H19" s="8" t="s">
        <v>296</v>
      </c>
      <c r="I19" s="8" t="s">
        <v>296</v>
      </c>
      <c r="J19" s="8" t="s">
        <v>298</v>
      </c>
      <c r="K19" s="8" t="s">
        <v>298</v>
      </c>
      <c r="L19" s="9"/>
      <c r="M19" s="8"/>
      <c r="N19" s="10"/>
    </row>
    <row r="20" spans="1:14" ht="25.5" customHeight="1">
      <c r="A20" s="2">
        <v>18</v>
      </c>
      <c r="B20" s="6" t="s">
        <v>191</v>
      </c>
      <c r="C20" s="6" t="s">
        <v>195</v>
      </c>
      <c r="D20" s="2" t="s">
        <v>193</v>
      </c>
      <c r="E20" s="2" t="s">
        <v>58</v>
      </c>
      <c r="F20" s="2" t="s">
        <v>59</v>
      </c>
      <c r="G20" s="8" t="s">
        <v>296</v>
      </c>
      <c r="H20" s="8" t="s">
        <v>296</v>
      </c>
      <c r="I20" s="8" t="s">
        <v>296</v>
      </c>
      <c r="J20" s="8" t="s">
        <v>298</v>
      </c>
      <c r="K20" s="8" t="s">
        <v>298</v>
      </c>
      <c r="L20" s="9"/>
      <c r="M20" s="8"/>
      <c r="N20" s="10"/>
    </row>
    <row r="21" spans="1:14" ht="25.5" customHeight="1">
      <c r="A21" s="2">
        <v>19</v>
      </c>
      <c r="B21" s="6" t="s">
        <v>191</v>
      </c>
      <c r="C21" s="6" t="s">
        <v>196</v>
      </c>
      <c r="D21" s="2" t="s">
        <v>193</v>
      </c>
      <c r="E21" s="2" t="s">
        <v>65</v>
      </c>
      <c r="F21" s="2" t="s">
        <v>59</v>
      </c>
      <c r="G21" s="8" t="s">
        <v>296</v>
      </c>
      <c r="H21" s="8" t="s">
        <v>296</v>
      </c>
      <c r="I21" s="8" t="s">
        <v>296</v>
      </c>
      <c r="J21" s="8" t="s">
        <v>298</v>
      </c>
      <c r="K21" s="8" t="s">
        <v>298</v>
      </c>
      <c r="L21" s="9"/>
      <c r="M21" s="8"/>
      <c r="N21" s="10"/>
    </row>
    <row r="22" spans="1:14" ht="25.5" customHeight="1">
      <c r="A22" s="2">
        <v>20</v>
      </c>
      <c r="B22" s="6" t="s">
        <v>191</v>
      </c>
      <c r="C22" s="6" t="s">
        <v>197</v>
      </c>
      <c r="D22" s="2" t="s">
        <v>193</v>
      </c>
      <c r="E22" s="2" t="s">
        <v>58</v>
      </c>
      <c r="F22" s="2" t="s">
        <v>59</v>
      </c>
      <c r="G22" s="8" t="s">
        <v>296</v>
      </c>
      <c r="H22" s="8" t="s">
        <v>296</v>
      </c>
      <c r="I22" s="8" t="s">
        <v>296</v>
      </c>
      <c r="J22" s="8" t="s">
        <v>298</v>
      </c>
      <c r="K22" s="8" t="s">
        <v>298</v>
      </c>
      <c r="L22" s="9"/>
      <c r="M22" s="8"/>
      <c r="N22" s="10"/>
    </row>
    <row r="23" spans="1:14" ht="25.5" customHeight="1">
      <c r="A23" s="2">
        <v>21</v>
      </c>
      <c r="B23" s="6" t="s">
        <v>191</v>
      </c>
      <c r="C23" s="6" t="s">
        <v>198</v>
      </c>
      <c r="D23" s="2" t="s">
        <v>193</v>
      </c>
      <c r="E23" s="2" t="s">
        <v>58</v>
      </c>
      <c r="F23" s="2" t="s">
        <v>59</v>
      </c>
      <c r="G23" s="8" t="s">
        <v>296</v>
      </c>
      <c r="H23" s="8" t="s">
        <v>296</v>
      </c>
      <c r="I23" s="8" t="s">
        <v>296</v>
      </c>
      <c r="J23" s="8" t="s">
        <v>298</v>
      </c>
      <c r="K23" s="8" t="s">
        <v>298</v>
      </c>
      <c r="L23" s="9"/>
      <c r="M23" s="8"/>
      <c r="N23" s="10"/>
    </row>
    <row r="24" spans="1:14" ht="25.5" customHeight="1">
      <c r="A24" s="2">
        <v>22</v>
      </c>
      <c r="B24" s="6" t="s">
        <v>191</v>
      </c>
      <c r="C24" s="6" t="s">
        <v>199</v>
      </c>
      <c r="D24" s="2" t="s">
        <v>193</v>
      </c>
      <c r="E24" s="2" t="s">
        <v>65</v>
      </c>
      <c r="F24" s="2" t="s">
        <v>59</v>
      </c>
      <c r="G24" s="8" t="s">
        <v>296</v>
      </c>
      <c r="H24" s="8" t="s">
        <v>296</v>
      </c>
      <c r="I24" s="8" t="s">
        <v>296</v>
      </c>
      <c r="J24" s="8" t="s">
        <v>298</v>
      </c>
      <c r="K24" s="8" t="s">
        <v>298</v>
      </c>
      <c r="L24" s="9"/>
      <c r="M24" s="8"/>
      <c r="N24" s="10"/>
    </row>
    <row r="25" spans="1:14" ht="25.5" customHeight="1">
      <c r="A25" s="2">
        <v>23</v>
      </c>
      <c r="B25" s="6" t="s">
        <v>200</v>
      </c>
      <c r="C25" s="6" t="s">
        <v>201</v>
      </c>
      <c r="D25" s="2" t="s">
        <v>202</v>
      </c>
      <c r="E25" s="2" t="s">
        <v>58</v>
      </c>
      <c r="F25" s="2" t="s">
        <v>59</v>
      </c>
      <c r="G25" s="8" t="s">
        <v>296</v>
      </c>
      <c r="H25" s="8" t="s">
        <v>296</v>
      </c>
      <c r="I25" s="8" t="s">
        <v>296</v>
      </c>
      <c r="J25" s="8" t="s">
        <v>298</v>
      </c>
      <c r="K25" s="8" t="s">
        <v>298</v>
      </c>
      <c r="L25" s="9"/>
      <c r="M25" s="8"/>
      <c r="N25" s="10"/>
    </row>
    <row r="26" spans="1:14" ht="25.5" customHeight="1">
      <c r="A26" s="2">
        <v>24</v>
      </c>
      <c r="B26" s="6" t="s">
        <v>200</v>
      </c>
      <c r="C26" s="6" t="s">
        <v>203</v>
      </c>
      <c r="D26" s="2" t="s">
        <v>202</v>
      </c>
      <c r="E26" s="2" t="s">
        <v>77</v>
      </c>
      <c r="F26" s="2" t="s">
        <v>59</v>
      </c>
      <c r="G26" s="8" t="s">
        <v>296</v>
      </c>
      <c r="H26" s="8" t="s">
        <v>296</v>
      </c>
      <c r="I26" s="8" t="s">
        <v>296</v>
      </c>
      <c r="J26" s="8" t="s">
        <v>298</v>
      </c>
      <c r="K26" s="8" t="s">
        <v>298</v>
      </c>
      <c r="L26" s="9"/>
      <c r="M26" s="8"/>
      <c r="N26" s="10"/>
    </row>
    <row r="27" spans="1:14" ht="25.5" customHeight="1">
      <c r="A27" s="2">
        <v>25</v>
      </c>
      <c r="B27" s="6" t="s">
        <v>200</v>
      </c>
      <c r="C27" s="6" t="s">
        <v>204</v>
      </c>
      <c r="D27" s="2" t="s">
        <v>202</v>
      </c>
      <c r="E27" s="2" t="s">
        <v>58</v>
      </c>
      <c r="F27" s="2" t="s">
        <v>59</v>
      </c>
      <c r="G27" s="8" t="s">
        <v>296</v>
      </c>
      <c r="H27" s="8" t="s">
        <v>296</v>
      </c>
      <c r="I27" s="8" t="s">
        <v>296</v>
      </c>
      <c r="J27" s="8" t="s">
        <v>298</v>
      </c>
      <c r="K27" s="8" t="s">
        <v>298</v>
      </c>
      <c r="L27" s="9"/>
      <c r="M27" s="8"/>
      <c r="N27" s="10"/>
    </row>
    <row r="28" spans="1:14" ht="25.5" customHeight="1">
      <c r="A28" s="2">
        <v>26</v>
      </c>
      <c r="B28" s="6" t="s">
        <v>200</v>
      </c>
      <c r="C28" s="6" t="s">
        <v>205</v>
      </c>
      <c r="D28" s="2" t="s">
        <v>202</v>
      </c>
      <c r="E28" s="2" t="s">
        <v>58</v>
      </c>
      <c r="F28" s="2" t="s">
        <v>68</v>
      </c>
      <c r="G28" s="8" t="s">
        <v>296</v>
      </c>
      <c r="H28" s="8" t="s">
        <v>296</v>
      </c>
      <c r="I28" s="8" t="s">
        <v>296</v>
      </c>
      <c r="J28" s="8" t="s">
        <v>298</v>
      </c>
      <c r="K28" s="8" t="s">
        <v>298</v>
      </c>
      <c r="L28" s="9"/>
      <c r="M28" s="8"/>
      <c r="N28" s="10"/>
    </row>
    <row r="29" spans="1:14" ht="25.5" customHeight="1">
      <c r="A29" s="2">
        <v>27</v>
      </c>
      <c r="B29" s="6" t="s">
        <v>200</v>
      </c>
      <c r="C29" s="6" t="s">
        <v>206</v>
      </c>
      <c r="D29" s="2" t="s">
        <v>202</v>
      </c>
      <c r="E29" s="2" t="s">
        <v>58</v>
      </c>
      <c r="F29" s="2" t="s">
        <v>59</v>
      </c>
      <c r="G29" s="8" t="s">
        <v>296</v>
      </c>
      <c r="H29" s="8" t="s">
        <v>296</v>
      </c>
      <c r="I29" s="8" t="s">
        <v>296</v>
      </c>
      <c r="J29" s="8" t="s">
        <v>298</v>
      </c>
      <c r="K29" s="8" t="s">
        <v>298</v>
      </c>
      <c r="L29" s="9"/>
      <c r="M29" s="8"/>
      <c r="N29" s="10"/>
    </row>
    <row r="30" spans="1:14" ht="25.5" customHeight="1">
      <c r="A30" s="2">
        <v>28</v>
      </c>
      <c r="B30" s="6" t="s">
        <v>207</v>
      </c>
      <c r="C30" s="6" t="s">
        <v>208</v>
      </c>
      <c r="D30" s="2" t="s">
        <v>209</v>
      </c>
      <c r="E30" s="2" t="s">
        <v>65</v>
      </c>
      <c r="F30" s="2" t="s">
        <v>59</v>
      </c>
      <c r="G30" s="8" t="s">
        <v>296</v>
      </c>
      <c r="H30" s="8" t="s">
        <v>296</v>
      </c>
      <c r="I30" s="8" t="s">
        <v>296</v>
      </c>
      <c r="J30" s="8" t="s">
        <v>298</v>
      </c>
      <c r="K30" s="8" t="s">
        <v>298</v>
      </c>
      <c r="L30" s="9"/>
      <c r="M30" s="8"/>
      <c r="N30" s="10"/>
    </row>
    <row r="31" spans="1:14" ht="25.5" customHeight="1">
      <c r="A31" s="2">
        <v>29</v>
      </c>
      <c r="B31" s="6" t="s">
        <v>207</v>
      </c>
      <c r="C31" s="6" t="s">
        <v>210</v>
      </c>
      <c r="D31" s="2" t="s">
        <v>209</v>
      </c>
      <c r="E31" s="2" t="s">
        <v>65</v>
      </c>
      <c r="F31" s="2" t="s">
        <v>59</v>
      </c>
      <c r="G31" s="8" t="s">
        <v>296</v>
      </c>
      <c r="H31" s="8" t="s">
        <v>296</v>
      </c>
      <c r="I31" s="8" t="s">
        <v>296</v>
      </c>
      <c r="J31" s="8" t="s">
        <v>298</v>
      </c>
      <c r="K31" s="8" t="s">
        <v>298</v>
      </c>
      <c r="L31" s="9"/>
      <c r="M31" s="8"/>
      <c r="N31" s="10"/>
    </row>
    <row r="32" spans="1:14" ht="25.5" customHeight="1">
      <c r="A32" s="2">
        <v>30</v>
      </c>
      <c r="B32" s="6" t="s">
        <v>207</v>
      </c>
      <c r="C32" s="6" t="s">
        <v>211</v>
      </c>
      <c r="D32" s="2" t="s">
        <v>209</v>
      </c>
      <c r="E32" s="2" t="s">
        <v>65</v>
      </c>
      <c r="F32" s="2" t="s">
        <v>59</v>
      </c>
      <c r="G32" s="8" t="s">
        <v>296</v>
      </c>
      <c r="H32" s="8" t="s">
        <v>296</v>
      </c>
      <c r="I32" s="8" t="s">
        <v>296</v>
      </c>
      <c r="J32" s="8" t="s">
        <v>298</v>
      </c>
      <c r="K32" s="8" t="s">
        <v>298</v>
      </c>
      <c r="L32" s="9"/>
      <c r="M32" s="8"/>
      <c r="N32" s="10"/>
    </row>
    <row r="33" spans="1:14" ht="25.5" customHeight="1">
      <c r="A33" s="2">
        <v>31</v>
      </c>
      <c r="B33" s="6" t="s">
        <v>207</v>
      </c>
      <c r="C33" s="6" t="s">
        <v>212</v>
      </c>
      <c r="D33" s="2" t="s">
        <v>209</v>
      </c>
      <c r="E33" s="2" t="s">
        <v>58</v>
      </c>
      <c r="F33" s="2" t="s">
        <v>59</v>
      </c>
      <c r="G33" s="8" t="s">
        <v>296</v>
      </c>
      <c r="H33" s="8" t="s">
        <v>296</v>
      </c>
      <c r="I33" s="8" t="s">
        <v>296</v>
      </c>
      <c r="J33" s="8" t="s">
        <v>298</v>
      </c>
      <c r="K33" s="8" t="s">
        <v>298</v>
      </c>
      <c r="L33" s="9"/>
      <c r="M33" s="8"/>
      <c r="N33" s="10"/>
    </row>
    <row r="34" spans="1:14" ht="25.5" customHeight="1">
      <c r="A34" s="2">
        <v>32</v>
      </c>
      <c r="B34" s="6" t="s">
        <v>207</v>
      </c>
      <c r="C34" s="6" t="s">
        <v>213</v>
      </c>
      <c r="D34" s="2" t="s">
        <v>209</v>
      </c>
      <c r="E34" s="2" t="s">
        <v>65</v>
      </c>
      <c r="F34" s="2" t="s">
        <v>59</v>
      </c>
      <c r="G34" s="8" t="s">
        <v>296</v>
      </c>
      <c r="H34" s="8" t="s">
        <v>296</v>
      </c>
      <c r="I34" s="8" t="s">
        <v>296</v>
      </c>
      <c r="J34" s="8" t="s">
        <v>298</v>
      </c>
      <c r="K34" s="8" t="s">
        <v>298</v>
      </c>
      <c r="L34" s="9"/>
      <c r="M34" s="8"/>
      <c r="N34" s="10"/>
    </row>
    <row r="35" spans="1:14" ht="25.5" customHeight="1">
      <c r="A35" s="2">
        <v>33</v>
      </c>
      <c r="B35" s="6" t="s">
        <v>207</v>
      </c>
      <c r="C35" s="6" t="s">
        <v>214</v>
      </c>
      <c r="D35" s="2" t="s">
        <v>209</v>
      </c>
      <c r="E35" s="2" t="s">
        <v>65</v>
      </c>
      <c r="F35" s="2" t="s">
        <v>59</v>
      </c>
      <c r="G35" s="8" t="s">
        <v>296</v>
      </c>
      <c r="H35" s="8" t="s">
        <v>296</v>
      </c>
      <c r="I35" s="8" t="s">
        <v>296</v>
      </c>
      <c r="J35" s="8" t="s">
        <v>298</v>
      </c>
      <c r="K35" s="8" t="s">
        <v>298</v>
      </c>
      <c r="L35" s="9"/>
      <c r="M35" s="8"/>
      <c r="N35" s="10"/>
    </row>
    <row r="36" spans="1:14" ht="25.5" customHeight="1">
      <c r="A36" s="2">
        <v>34</v>
      </c>
      <c r="B36" s="6" t="s">
        <v>207</v>
      </c>
      <c r="C36" s="6" t="s">
        <v>215</v>
      </c>
      <c r="D36" s="2" t="s">
        <v>209</v>
      </c>
      <c r="E36" s="2" t="s">
        <v>65</v>
      </c>
      <c r="F36" s="2" t="s">
        <v>68</v>
      </c>
      <c r="G36" s="8" t="s">
        <v>296</v>
      </c>
      <c r="H36" s="8" t="s">
        <v>296</v>
      </c>
      <c r="I36" s="8" t="s">
        <v>296</v>
      </c>
      <c r="J36" s="8" t="s">
        <v>298</v>
      </c>
      <c r="K36" s="8" t="s">
        <v>298</v>
      </c>
      <c r="L36" s="9"/>
      <c r="M36" s="8"/>
      <c r="N36" s="10"/>
    </row>
  </sheetData>
  <autoFilter ref="A2:N36" xr:uid="{00000000-0009-0000-0000-000005000000}"/>
  <mergeCells count="1">
    <mergeCell ref="A1:N1"/>
  </mergeCells>
  <conditionalFormatting sqref="G3:H36">
    <cfRule type="cellIs" dxfId="77" priority="2" operator="equal">
      <formula>"Completed"</formula>
    </cfRule>
    <cfRule type="cellIs" dxfId="76" priority="3" operator="equal">
      <formula>"In Progress"</formula>
    </cfRule>
    <cfRule type="cellIs" dxfId="75" priority="4" operator="equal">
      <formula>"Dev Complete"</formula>
    </cfRule>
    <cfRule type="cellIs" dxfId="74" priority="5" operator="equal">
      <formula>"Code Review"</formula>
    </cfRule>
    <cfRule type="cellIs" dxfId="73" priority="6" operator="equal">
      <formula>"Blocked"</formula>
    </cfRule>
    <cfRule type="cellIs" dxfId="72" priority="7" operator="equal">
      <formula>"On Hold"</formula>
    </cfRule>
    <cfRule type="cellIs" dxfId="71" priority="8" operator="equal">
      <formula>"Not Applicable"</formula>
    </cfRule>
  </conditionalFormatting>
  <conditionalFormatting sqref="I3:I36">
    <cfRule type="cellIs" dxfId="70" priority="9" operator="equal">
      <formula>"Passed"</formula>
    </cfRule>
    <cfRule type="cellIs" dxfId="69" priority="10" operator="equal">
      <formula>"In Progress"</formula>
    </cfRule>
    <cfRule type="cellIs" dxfId="68" priority="11" operator="equal">
      <formula>"Re-Test"</formula>
    </cfRule>
    <cfRule type="cellIs" dxfId="67" priority="12" operator="equal">
      <formula>"Failed"</formula>
    </cfRule>
    <cfRule type="cellIs" dxfId="66" priority="13" operator="equal">
      <formula>"Blocked"</formula>
    </cfRule>
    <cfRule type="cellIs" dxfId="65" priority="14" operator="equal">
      <formula>"Not Applicable"</formula>
    </cfRule>
  </conditionalFormatting>
  <conditionalFormatting sqref="J3:K36">
    <cfRule type="cellIs" dxfId="64" priority="15" operator="equal">
      <formula>"Deployed"</formula>
    </cfRule>
    <cfRule type="cellIs" dxfId="63" priority="16" operator="equal">
      <formula>"Verified"</formula>
    </cfRule>
    <cfRule type="cellIs" dxfId="62" priority="17" operator="equal">
      <formula>"Ready for Deploy"</formula>
    </cfRule>
    <cfRule type="cellIs" dxfId="61" priority="18" operator="equal">
      <formula>"Deploy Failed"</formula>
    </cfRule>
    <cfRule type="cellIs" dxfId="60" priority="19" operator="equal">
      <formula>"Rolled Back"</formula>
    </cfRule>
    <cfRule type="cellIs" dxfId="59" priority="20" operator="equal">
      <formula>"Not Applicable"</formula>
    </cfRule>
  </conditionalFormatting>
  <conditionalFormatting sqref="F3:F36">
    <cfRule type="cellIs" dxfId="58" priority="21" operator="equal">
      <formula>"High"</formula>
    </cfRule>
    <cfRule type="cellIs" dxfId="57" priority="22" operator="equal">
      <formula>"Medium"</formula>
    </cfRule>
    <cfRule type="cellIs" dxfId="56" priority="23" operator="equal">
      <formula>"Low"</formula>
    </cfRule>
  </conditionalFormatting>
  <dataValidations count="5">
    <dataValidation type="list" allowBlank="1" sqref="E3:E36" xr:uid="{00000000-0002-0000-0500-000000000000}">
      <formula1>Layer</formula1>
      <formula2>0</formula2>
    </dataValidation>
    <dataValidation type="list" allowBlank="1" sqref="F3:F36" xr:uid="{00000000-0002-0000-0500-000001000000}">
      <formula1>Priority</formula1>
      <formula2>0</formula2>
    </dataValidation>
    <dataValidation type="list" allowBlank="1" sqref="G3:H36" xr:uid="{00000000-0002-0000-0500-000002000000}">
      <formula1>DevStatus</formula1>
      <formula2>0</formula2>
    </dataValidation>
    <dataValidation type="list" allowBlank="1" sqref="I3:I36" xr:uid="{00000000-0002-0000-0500-000003000000}">
      <formula1>QAStatus</formula1>
      <formula2>0</formula2>
    </dataValidation>
    <dataValidation type="list" allowBlank="1" sqref="J3:K36" xr:uid="{00000000-0002-0000-0500-000004000000}">
      <formula1>DeployStatus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2"/>
  <sheetViews>
    <sheetView showGridLines="0" zoomScaleNormal="100"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ColWidth="8.7109375" defaultRowHeight="15"/>
  <cols>
    <col min="1" max="1" width="6" customWidth="1"/>
    <col min="2" max="2" width="28" customWidth="1"/>
    <col min="3" max="3" width="48" customWidth="1"/>
    <col min="4" max="4" width="16" customWidth="1"/>
    <col min="5" max="5" width="12" customWidth="1"/>
    <col min="6" max="6" width="10" customWidth="1"/>
    <col min="7" max="8" width="15" customWidth="1"/>
    <col min="9" max="9" width="14" customWidth="1"/>
    <col min="10" max="12" width="16" customWidth="1"/>
    <col min="13" max="13" width="13" customWidth="1"/>
    <col min="14" max="14" width="38" customWidth="1"/>
  </cols>
  <sheetData>
    <row r="1" spans="1:14" ht="24" customHeight="1">
      <c r="A1" s="17" t="s">
        <v>315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27.75" customHeight="1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</row>
    <row r="3" spans="1:14" ht="25.5" customHeight="1">
      <c r="A3" s="2">
        <v>1</v>
      </c>
      <c r="B3" s="6" t="s">
        <v>216</v>
      </c>
      <c r="C3" s="6" t="s">
        <v>217</v>
      </c>
      <c r="D3" s="2" t="s">
        <v>218</v>
      </c>
      <c r="E3" s="2" t="s">
        <v>58</v>
      </c>
      <c r="F3" s="2" t="s">
        <v>59</v>
      </c>
      <c r="G3" s="8" t="s">
        <v>296</v>
      </c>
      <c r="H3" s="8" t="s">
        <v>296</v>
      </c>
      <c r="I3" s="8" t="s">
        <v>296</v>
      </c>
      <c r="J3" s="8" t="s">
        <v>298</v>
      </c>
      <c r="K3" s="8" t="s">
        <v>298</v>
      </c>
      <c r="L3" s="9"/>
      <c r="M3" s="8"/>
      <c r="N3" s="10"/>
    </row>
    <row r="4" spans="1:14" ht="25.5" customHeight="1">
      <c r="A4" s="2">
        <v>2</v>
      </c>
      <c r="B4" s="6" t="s">
        <v>216</v>
      </c>
      <c r="C4" s="6" t="s">
        <v>219</v>
      </c>
      <c r="D4" s="2" t="s">
        <v>218</v>
      </c>
      <c r="E4" s="2" t="s">
        <v>58</v>
      </c>
      <c r="F4" s="2" t="s">
        <v>59</v>
      </c>
      <c r="G4" s="8" t="s">
        <v>296</v>
      </c>
      <c r="H4" s="8" t="s">
        <v>296</v>
      </c>
      <c r="I4" s="8" t="s">
        <v>296</v>
      </c>
      <c r="J4" s="8" t="s">
        <v>298</v>
      </c>
      <c r="K4" s="8" t="s">
        <v>298</v>
      </c>
      <c r="L4" s="9"/>
      <c r="M4" s="8"/>
      <c r="N4" s="10"/>
    </row>
    <row r="5" spans="1:14" ht="25.5" customHeight="1">
      <c r="A5" s="2">
        <v>3</v>
      </c>
      <c r="B5" s="6" t="s">
        <v>216</v>
      </c>
      <c r="C5" s="6" t="s">
        <v>220</v>
      </c>
      <c r="D5" s="2" t="s">
        <v>218</v>
      </c>
      <c r="E5" s="2" t="s">
        <v>58</v>
      </c>
      <c r="F5" s="2" t="s">
        <v>59</v>
      </c>
      <c r="G5" s="8" t="s">
        <v>296</v>
      </c>
      <c r="H5" s="8" t="s">
        <v>296</v>
      </c>
      <c r="I5" s="8" t="s">
        <v>296</v>
      </c>
      <c r="J5" s="8" t="s">
        <v>298</v>
      </c>
      <c r="K5" s="8" t="s">
        <v>298</v>
      </c>
      <c r="L5" s="9"/>
      <c r="M5" s="8"/>
      <c r="N5" s="10"/>
    </row>
    <row r="6" spans="1:14" ht="25.5" customHeight="1">
      <c r="A6" s="2">
        <v>4</v>
      </c>
      <c r="B6" s="6" t="s">
        <v>216</v>
      </c>
      <c r="C6" s="6" t="s">
        <v>221</v>
      </c>
      <c r="D6" s="2" t="s">
        <v>218</v>
      </c>
      <c r="E6" s="2" t="s">
        <v>58</v>
      </c>
      <c r="F6" s="2" t="s">
        <v>59</v>
      </c>
      <c r="G6" s="8" t="s">
        <v>296</v>
      </c>
      <c r="H6" s="8" t="s">
        <v>296</v>
      </c>
      <c r="I6" s="8" t="s">
        <v>296</v>
      </c>
      <c r="J6" s="8" t="s">
        <v>298</v>
      </c>
      <c r="K6" s="8" t="s">
        <v>298</v>
      </c>
      <c r="L6" s="9"/>
      <c r="M6" s="8"/>
      <c r="N6" s="10"/>
    </row>
    <row r="7" spans="1:14" ht="25.5" customHeight="1">
      <c r="A7" s="2">
        <v>5</v>
      </c>
      <c r="B7" s="6" t="s">
        <v>216</v>
      </c>
      <c r="C7" s="6" t="s">
        <v>222</v>
      </c>
      <c r="D7" s="2" t="s">
        <v>218</v>
      </c>
      <c r="E7" s="2" t="s">
        <v>58</v>
      </c>
      <c r="F7" s="2" t="s">
        <v>59</v>
      </c>
      <c r="G7" s="8" t="s">
        <v>296</v>
      </c>
      <c r="H7" s="8" t="s">
        <v>296</v>
      </c>
      <c r="I7" s="8" t="s">
        <v>296</v>
      </c>
      <c r="J7" s="8" t="s">
        <v>298</v>
      </c>
      <c r="K7" s="8" t="s">
        <v>298</v>
      </c>
      <c r="L7" s="9"/>
      <c r="M7" s="8"/>
      <c r="N7" s="10"/>
    </row>
    <row r="8" spans="1:14" ht="25.5" customHeight="1">
      <c r="A8" s="2">
        <v>6</v>
      </c>
      <c r="B8" s="6" t="s">
        <v>216</v>
      </c>
      <c r="C8" s="6" t="s">
        <v>223</v>
      </c>
      <c r="D8" s="2" t="s">
        <v>218</v>
      </c>
      <c r="E8" s="2" t="s">
        <v>58</v>
      </c>
      <c r="F8" s="2" t="s">
        <v>59</v>
      </c>
      <c r="G8" s="8" t="s">
        <v>296</v>
      </c>
      <c r="H8" s="8" t="s">
        <v>296</v>
      </c>
      <c r="I8" s="8" t="s">
        <v>296</v>
      </c>
      <c r="J8" s="8" t="s">
        <v>298</v>
      </c>
      <c r="K8" s="8" t="s">
        <v>298</v>
      </c>
      <c r="L8" s="9"/>
      <c r="M8" s="8"/>
      <c r="N8" s="10"/>
    </row>
    <row r="9" spans="1:14" ht="25.5" customHeight="1">
      <c r="A9" s="2">
        <v>7</v>
      </c>
      <c r="B9" s="6" t="s">
        <v>216</v>
      </c>
      <c r="C9" s="6" t="s">
        <v>224</v>
      </c>
      <c r="D9" s="2" t="s">
        <v>218</v>
      </c>
      <c r="E9" s="2" t="s">
        <v>58</v>
      </c>
      <c r="F9" s="2" t="s">
        <v>59</v>
      </c>
      <c r="G9" s="8" t="s">
        <v>296</v>
      </c>
      <c r="H9" s="8" t="s">
        <v>296</v>
      </c>
      <c r="I9" s="8" t="s">
        <v>296</v>
      </c>
      <c r="J9" s="8" t="s">
        <v>298</v>
      </c>
      <c r="K9" s="8" t="s">
        <v>298</v>
      </c>
      <c r="L9" s="9"/>
      <c r="M9" s="8"/>
      <c r="N9" s="10"/>
    </row>
    <row r="10" spans="1:14" ht="25.5" customHeight="1">
      <c r="A10" s="2">
        <v>8</v>
      </c>
      <c r="B10" s="6" t="s">
        <v>216</v>
      </c>
      <c r="C10" s="6" t="s">
        <v>225</v>
      </c>
      <c r="D10" s="2" t="s">
        <v>218</v>
      </c>
      <c r="E10" s="2" t="s">
        <v>58</v>
      </c>
      <c r="F10" s="2" t="s">
        <v>59</v>
      </c>
      <c r="G10" s="8" t="s">
        <v>296</v>
      </c>
      <c r="H10" s="8" t="s">
        <v>296</v>
      </c>
      <c r="I10" s="8" t="s">
        <v>296</v>
      </c>
      <c r="J10" s="8" t="s">
        <v>298</v>
      </c>
      <c r="K10" s="8" t="s">
        <v>298</v>
      </c>
      <c r="L10" s="9"/>
      <c r="M10" s="8"/>
      <c r="N10" s="10"/>
    </row>
    <row r="11" spans="1:14" ht="25.5" customHeight="1">
      <c r="A11" s="2">
        <v>9</v>
      </c>
      <c r="B11" s="6" t="s">
        <v>216</v>
      </c>
      <c r="C11" s="6" t="s">
        <v>226</v>
      </c>
      <c r="D11" s="2" t="s">
        <v>218</v>
      </c>
      <c r="E11" s="2" t="s">
        <v>58</v>
      </c>
      <c r="F11" s="2" t="s">
        <v>59</v>
      </c>
      <c r="G11" s="8" t="s">
        <v>296</v>
      </c>
      <c r="H11" s="8" t="s">
        <v>296</v>
      </c>
      <c r="I11" s="8" t="s">
        <v>296</v>
      </c>
      <c r="J11" s="8" t="s">
        <v>298</v>
      </c>
      <c r="K11" s="8" t="s">
        <v>298</v>
      </c>
      <c r="L11" s="9"/>
      <c r="M11" s="8"/>
      <c r="N11" s="10"/>
    </row>
    <row r="12" spans="1:14" ht="25.5" customHeight="1">
      <c r="A12" s="2">
        <v>10</v>
      </c>
      <c r="B12" s="6" t="s">
        <v>216</v>
      </c>
      <c r="C12" s="6" t="s">
        <v>227</v>
      </c>
      <c r="D12" s="2" t="s">
        <v>218</v>
      </c>
      <c r="E12" s="2" t="s">
        <v>65</v>
      </c>
      <c r="F12" s="2" t="s">
        <v>59</v>
      </c>
      <c r="G12" s="8" t="s">
        <v>296</v>
      </c>
      <c r="H12" s="8" t="s">
        <v>296</v>
      </c>
      <c r="I12" s="8" t="s">
        <v>296</v>
      </c>
      <c r="J12" s="8" t="s">
        <v>298</v>
      </c>
      <c r="K12" s="8" t="s">
        <v>298</v>
      </c>
      <c r="L12" s="9"/>
      <c r="M12" s="8"/>
      <c r="N12" s="10"/>
    </row>
    <row r="13" spans="1:14" ht="25.5" customHeight="1">
      <c r="A13" s="2">
        <v>11</v>
      </c>
      <c r="B13" s="6" t="s">
        <v>228</v>
      </c>
      <c r="C13" s="6" t="s">
        <v>229</v>
      </c>
      <c r="D13" s="2" t="s">
        <v>230</v>
      </c>
      <c r="E13" s="2" t="s">
        <v>58</v>
      </c>
      <c r="F13" s="2" t="s">
        <v>59</v>
      </c>
      <c r="G13" s="8" t="s">
        <v>296</v>
      </c>
      <c r="H13" s="8" t="s">
        <v>296</v>
      </c>
      <c r="I13" s="8" t="s">
        <v>296</v>
      </c>
      <c r="J13" s="8" t="s">
        <v>298</v>
      </c>
      <c r="K13" s="8" t="s">
        <v>298</v>
      </c>
      <c r="L13" s="9"/>
      <c r="M13" s="8"/>
      <c r="N13" s="10"/>
    </row>
    <row r="14" spans="1:14" ht="25.5" customHeight="1">
      <c r="A14" s="2">
        <v>12</v>
      </c>
      <c r="B14" s="6" t="s">
        <v>228</v>
      </c>
      <c r="C14" s="6" t="s">
        <v>231</v>
      </c>
      <c r="D14" s="2" t="s">
        <v>230</v>
      </c>
      <c r="E14" s="2" t="s">
        <v>58</v>
      </c>
      <c r="F14" s="2" t="s">
        <v>59</v>
      </c>
      <c r="G14" s="8" t="s">
        <v>296</v>
      </c>
      <c r="H14" s="8" t="s">
        <v>296</v>
      </c>
      <c r="I14" s="8" t="s">
        <v>296</v>
      </c>
      <c r="J14" s="8" t="s">
        <v>298</v>
      </c>
      <c r="K14" s="8" t="s">
        <v>298</v>
      </c>
      <c r="L14" s="9"/>
      <c r="M14" s="8"/>
      <c r="N14" s="10"/>
    </row>
    <row r="15" spans="1:14" ht="25.5" customHeight="1">
      <c r="A15" s="2">
        <v>13</v>
      </c>
      <c r="B15" s="6" t="s">
        <v>228</v>
      </c>
      <c r="C15" s="6" t="s">
        <v>232</v>
      </c>
      <c r="D15" s="2" t="s">
        <v>230</v>
      </c>
      <c r="E15" s="2" t="s">
        <v>58</v>
      </c>
      <c r="F15" s="2" t="s">
        <v>68</v>
      </c>
      <c r="G15" s="8" t="s">
        <v>296</v>
      </c>
      <c r="H15" s="8" t="s">
        <v>296</v>
      </c>
      <c r="I15" s="8" t="s">
        <v>296</v>
      </c>
      <c r="J15" s="8" t="s">
        <v>298</v>
      </c>
      <c r="K15" s="8" t="s">
        <v>298</v>
      </c>
      <c r="L15" s="9"/>
      <c r="M15" s="8"/>
      <c r="N15" s="10"/>
    </row>
    <row r="16" spans="1:14" ht="25.5" customHeight="1">
      <c r="A16" s="2">
        <v>14</v>
      </c>
      <c r="B16" s="6" t="s">
        <v>228</v>
      </c>
      <c r="C16" s="6" t="s">
        <v>233</v>
      </c>
      <c r="D16" s="2" t="s">
        <v>230</v>
      </c>
      <c r="E16" s="2" t="s">
        <v>58</v>
      </c>
      <c r="F16" s="2" t="s">
        <v>59</v>
      </c>
      <c r="G16" s="8" t="s">
        <v>296</v>
      </c>
      <c r="H16" s="8" t="s">
        <v>296</v>
      </c>
      <c r="I16" s="8" t="s">
        <v>296</v>
      </c>
      <c r="J16" s="8" t="s">
        <v>298</v>
      </c>
      <c r="K16" s="8" t="s">
        <v>298</v>
      </c>
      <c r="L16" s="9"/>
      <c r="M16" s="8"/>
      <c r="N16" s="10"/>
    </row>
    <row r="17" spans="1:14" ht="25.5" customHeight="1">
      <c r="A17" s="2">
        <v>15</v>
      </c>
      <c r="B17" s="6" t="s">
        <v>228</v>
      </c>
      <c r="C17" s="6" t="s">
        <v>234</v>
      </c>
      <c r="D17" s="2" t="s">
        <v>230</v>
      </c>
      <c r="E17" s="2" t="s">
        <v>58</v>
      </c>
      <c r="F17" s="2" t="s">
        <v>68</v>
      </c>
      <c r="G17" s="8" t="s">
        <v>296</v>
      </c>
      <c r="H17" s="8" t="s">
        <v>296</v>
      </c>
      <c r="I17" s="8" t="s">
        <v>296</v>
      </c>
      <c r="J17" s="8" t="s">
        <v>298</v>
      </c>
      <c r="K17" s="8" t="s">
        <v>298</v>
      </c>
      <c r="L17" s="9"/>
      <c r="M17" s="8"/>
      <c r="N17" s="10"/>
    </row>
    <row r="18" spans="1:14" ht="25.5" customHeight="1">
      <c r="A18" s="2">
        <v>16</v>
      </c>
      <c r="B18" s="6" t="s">
        <v>228</v>
      </c>
      <c r="C18" s="6" t="s">
        <v>235</v>
      </c>
      <c r="D18" s="2" t="s">
        <v>230</v>
      </c>
      <c r="E18" s="2" t="s">
        <v>58</v>
      </c>
      <c r="F18" s="2" t="s">
        <v>68</v>
      </c>
      <c r="G18" s="8" t="s">
        <v>296</v>
      </c>
      <c r="H18" s="8" t="s">
        <v>296</v>
      </c>
      <c r="I18" s="8" t="s">
        <v>296</v>
      </c>
      <c r="J18" s="8" t="s">
        <v>298</v>
      </c>
      <c r="K18" s="8" t="s">
        <v>298</v>
      </c>
      <c r="L18" s="9"/>
      <c r="M18" s="8"/>
      <c r="N18" s="10"/>
    </row>
    <row r="19" spans="1:14" ht="25.5" customHeight="1">
      <c r="A19" s="2">
        <v>17</v>
      </c>
      <c r="B19" s="6" t="s">
        <v>228</v>
      </c>
      <c r="C19" s="6" t="s">
        <v>236</v>
      </c>
      <c r="D19" s="2" t="s">
        <v>230</v>
      </c>
      <c r="E19" s="2" t="s">
        <v>65</v>
      </c>
      <c r="F19" s="2" t="s">
        <v>59</v>
      </c>
      <c r="G19" s="8" t="s">
        <v>296</v>
      </c>
      <c r="H19" s="8" t="s">
        <v>296</v>
      </c>
      <c r="I19" s="8" t="s">
        <v>296</v>
      </c>
      <c r="J19" s="8" t="s">
        <v>298</v>
      </c>
      <c r="K19" s="8" t="s">
        <v>298</v>
      </c>
      <c r="L19" s="9"/>
      <c r="M19" s="8"/>
      <c r="N19" s="10"/>
    </row>
    <row r="20" spans="1:14" ht="25.5" customHeight="1">
      <c r="A20" s="2">
        <v>18</v>
      </c>
      <c r="B20" s="6" t="s">
        <v>228</v>
      </c>
      <c r="C20" s="6" t="s">
        <v>237</v>
      </c>
      <c r="D20" s="2" t="s">
        <v>230</v>
      </c>
      <c r="E20" s="2" t="s">
        <v>58</v>
      </c>
      <c r="F20" s="2" t="s">
        <v>59</v>
      </c>
      <c r="G20" s="8" t="s">
        <v>296</v>
      </c>
      <c r="H20" s="8" t="s">
        <v>296</v>
      </c>
      <c r="I20" s="8" t="s">
        <v>296</v>
      </c>
      <c r="J20" s="8" t="s">
        <v>298</v>
      </c>
      <c r="K20" s="8" t="s">
        <v>298</v>
      </c>
      <c r="L20" s="9"/>
      <c r="M20" s="8"/>
      <c r="N20" s="10"/>
    </row>
    <row r="21" spans="1:14" ht="25.5" customHeight="1">
      <c r="A21" s="2">
        <v>19</v>
      </c>
      <c r="B21" s="6" t="s">
        <v>238</v>
      </c>
      <c r="C21" s="6" t="s">
        <v>239</v>
      </c>
      <c r="D21" s="2" t="s">
        <v>240</v>
      </c>
      <c r="E21" s="2" t="s">
        <v>58</v>
      </c>
      <c r="F21" s="2" t="s">
        <v>59</v>
      </c>
      <c r="G21" s="8" t="s">
        <v>296</v>
      </c>
      <c r="H21" s="8" t="s">
        <v>296</v>
      </c>
      <c r="I21" s="8" t="s">
        <v>296</v>
      </c>
      <c r="J21" s="8" t="s">
        <v>298</v>
      </c>
      <c r="K21" s="8" t="s">
        <v>298</v>
      </c>
      <c r="L21" s="9"/>
      <c r="M21" s="8"/>
      <c r="N21" s="10"/>
    </row>
    <row r="22" spans="1:14" ht="25.5" customHeight="1">
      <c r="A22" s="2">
        <v>20</v>
      </c>
      <c r="B22" s="6" t="s">
        <v>238</v>
      </c>
      <c r="C22" s="6" t="s">
        <v>241</v>
      </c>
      <c r="D22" s="2" t="s">
        <v>240</v>
      </c>
      <c r="E22" s="2" t="s">
        <v>58</v>
      </c>
      <c r="F22" s="2" t="s">
        <v>59</v>
      </c>
      <c r="G22" s="8" t="s">
        <v>296</v>
      </c>
      <c r="H22" s="8" t="s">
        <v>296</v>
      </c>
      <c r="I22" s="8" t="s">
        <v>296</v>
      </c>
      <c r="J22" s="8" t="s">
        <v>298</v>
      </c>
      <c r="K22" s="8" t="s">
        <v>298</v>
      </c>
      <c r="L22" s="9"/>
      <c r="M22" s="8"/>
      <c r="N22" s="10"/>
    </row>
    <row r="23" spans="1:14" ht="25.5" customHeight="1">
      <c r="A23" s="2">
        <v>21</v>
      </c>
      <c r="B23" s="6" t="s">
        <v>238</v>
      </c>
      <c r="C23" s="6" t="s">
        <v>242</v>
      </c>
      <c r="D23" s="2" t="s">
        <v>240</v>
      </c>
      <c r="E23" s="2" t="s">
        <v>58</v>
      </c>
      <c r="F23" s="2" t="s">
        <v>59</v>
      </c>
      <c r="G23" s="8" t="s">
        <v>296</v>
      </c>
      <c r="H23" s="8" t="s">
        <v>296</v>
      </c>
      <c r="I23" s="8" t="s">
        <v>296</v>
      </c>
      <c r="J23" s="8" t="s">
        <v>298</v>
      </c>
      <c r="K23" s="8" t="s">
        <v>298</v>
      </c>
      <c r="L23" s="9"/>
      <c r="M23" s="8"/>
      <c r="N23" s="10"/>
    </row>
    <row r="24" spans="1:14" ht="25.5" customHeight="1">
      <c r="A24" s="2">
        <v>22</v>
      </c>
      <c r="B24" s="6" t="s">
        <v>238</v>
      </c>
      <c r="C24" s="6" t="s">
        <v>243</v>
      </c>
      <c r="D24" s="2" t="s">
        <v>240</v>
      </c>
      <c r="E24" s="2" t="s">
        <v>65</v>
      </c>
      <c r="F24" s="2" t="s">
        <v>59</v>
      </c>
      <c r="G24" s="8" t="s">
        <v>296</v>
      </c>
      <c r="H24" s="8" t="s">
        <v>296</v>
      </c>
      <c r="I24" s="8" t="s">
        <v>296</v>
      </c>
      <c r="J24" s="8" t="s">
        <v>298</v>
      </c>
      <c r="K24" s="8" t="s">
        <v>298</v>
      </c>
      <c r="L24" s="9"/>
      <c r="M24" s="8"/>
      <c r="N24" s="10"/>
    </row>
    <row r="25" spans="1:14" ht="25.5" customHeight="1">
      <c r="A25" s="2">
        <v>23</v>
      </c>
      <c r="B25" s="6" t="s">
        <v>238</v>
      </c>
      <c r="C25" s="6" t="s">
        <v>244</v>
      </c>
      <c r="D25" s="2" t="s">
        <v>240</v>
      </c>
      <c r="E25" s="2" t="s">
        <v>58</v>
      </c>
      <c r="F25" s="2" t="s">
        <v>59</v>
      </c>
      <c r="G25" s="8" t="s">
        <v>296</v>
      </c>
      <c r="H25" s="8" t="s">
        <v>296</v>
      </c>
      <c r="I25" s="8" t="s">
        <v>296</v>
      </c>
      <c r="J25" s="8" t="s">
        <v>298</v>
      </c>
      <c r="K25" s="8" t="s">
        <v>298</v>
      </c>
      <c r="L25" s="9"/>
      <c r="M25" s="8"/>
      <c r="N25" s="10"/>
    </row>
    <row r="26" spans="1:14" ht="25.5" customHeight="1">
      <c r="A26" s="2">
        <v>24</v>
      </c>
      <c r="B26" s="6" t="s">
        <v>238</v>
      </c>
      <c r="C26" s="6" t="s">
        <v>245</v>
      </c>
      <c r="D26" s="2" t="s">
        <v>240</v>
      </c>
      <c r="E26" s="2" t="s">
        <v>58</v>
      </c>
      <c r="F26" s="2" t="s">
        <v>59</v>
      </c>
      <c r="G26" s="8" t="s">
        <v>296</v>
      </c>
      <c r="H26" s="8" t="s">
        <v>296</v>
      </c>
      <c r="I26" s="8" t="s">
        <v>296</v>
      </c>
      <c r="J26" s="8" t="s">
        <v>298</v>
      </c>
      <c r="K26" s="8" t="s">
        <v>298</v>
      </c>
      <c r="L26" s="9"/>
      <c r="M26" s="8"/>
      <c r="N26" s="10"/>
    </row>
    <row r="27" spans="1:14" ht="25.5" customHeight="1">
      <c r="A27" s="2">
        <v>25</v>
      </c>
      <c r="B27" s="6" t="s">
        <v>238</v>
      </c>
      <c r="C27" s="6" t="s">
        <v>246</v>
      </c>
      <c r="D27" s="2" t="s">
        <v>240</v>
      </c>
      <c r="E27" s="2" t="s">
        <v>65</v>
      </c>
      <c r="F27" s="2" t="s">
        <v>59</v>
      </c>
      <c r="G27" s="8" t="s">
        <v>296</v>
      </c>
      <c r="H27" s="8" t="s">
        <v>296</v>
      </c>
      <c r="I27" s="8" t="s">
        <v>296</v>
      </c>
      <c r="J27" s="8" t="s">
        <v>298</v>
      </c>
      <c r="K27" s="8" t="s">
        <v>298</v>
      </c>
      <c r="L27" s="9"/>
      <c r="M27" s="8"/>
      <c r="N27" s="10"/>
    </row>
    <row r="28" spans="1:14" ht="25.5" customHeight="1">
      <c r="A28" s="2">
        <v>26</v>
      </c>
      <c r="B28" s="6" t="s">
        <v>238</v>
      </c>
      <c r="C28" s="6" t="s">
        <v>247</v>
      </c>
      <c r="D28" s="2" t="s">
        <v>240</v>
      </c>
      <c r="E28" s="2" t="s">
        <v>65</v>
      </c>
      <c r="F28" s="2" t="s">
        <v>59</v>
      </c>
      <c r="G28" s="8" t="s">
        <v>296</v>
      </c>
      <c r="H28" s="8" t="s">
        <v>296</v>
      </c>
      <c r="I28" s="8" t="s">
        <v>296</v>
      </c>
      <c r="J28" s="8" t="s">
        <v>298</v>
      </c>
      <c r="K28" s="8" t="s">
        <v>298</v>
      </c>
      <c r="L28" s="9"/>
      <c r="M28" s="8"/>
      <c r="N28" s="10"/>
    </row>
    <row r="29" spans="1:14" ht="25.5" customHeight="1">
      <c r="A29" s="2">
        <v>27</v>
      </c>
      <c r="B29" s="6" t="s">
        <v>238</v>
      </c>
      <c r="C29" s="6" t="s">
        <v>248</v>
      </c>
      <c r="D29" s="2" t="s">
        <v>240</v>
      </c>
      <c r="E29" s="2" t="s">
        <v>65</v>
      </c>
      <c r="F29" s="2" t="s">
        <v>68</v>
      </c>
      <c r="G29" s="8" t="s">
        <v>296</v>
      </c>
      <c r="H29" s="8" t="s">
        <v>296</v>
      </c>
      <c r="I29" s="8" t="s">
        <v>296</v>
      </c>
      <c r="J29" s="8" t="s">
        <v>298</v>
      </c>
      <c r="K29" s="8" t="s">
        <v>298</v>
      </c>
      <c r="L29" s="9"/>
      <c r="M29" s="8"/>
      <c r="N29" s="10"/>
    </row>
    <row r="30" spans="1:14" ht="25.5" customHeight="1">
      <c r="A30" s="2">
        <v>28</v>
      </c>
      <c r="B30" s="6" t="s">
        <v>238</v>
      </c>
      <c r="C30" s="6" t="s">
        <v>249</v>
      </c>
      <c r="D30" s="2" t="s">
        <v>250</v>
      </c>
      <c r="E30" s="2" t="s">
        <v>58</v>
      </c>
      <c r="F30" s="2" t="s">
        <v>68</v>
      </c>
      <c r="G30" s="8" t="s">
        <v>296</v>
      </c>
      <c r="H30" s="8" t="s">
        <v>296</v>
      </c>
      <c r="I30" s="8" t="s">
        <v>296</v>
      </c>
      <c r="J30" s="8" t="s">
        <v>298</v>
      </c>
      <c r="K30" s="8" t="s">
        <v>298</v>
      </c>
      <c r="L30" s="9"/>
      <c r="M30" s="8"/>
      <c r="N30" s="10"/>
    </row>
    <row r="31" spans="1:14" ht="25.5" customHeight="1">
      <c r="A31" s="2">
        <v>29</v>
      </c>
      <c r="B31" s="6" t="s">
        <v>238</v>
      </c>
      <c r="C31" s="6" t="s">
        <v>251</v>
      </c>
      <c r="D31" s="2" t="s">
        <v>252</v>
      </c>
      <c r="E31" s="2" t="s">
        <v>58</v>
      </c>
      <c r="F31" s="2" t="s">
        <v>68</v>
      </c>
      <c r="G31" s="8" t="s">
        <v>296</v>
      </c>
      <c r="H31" s="8" t="s">
        <v>296</v>
      </c>
      <c r="I31" s="8" t="s">
        <v>296</v>
      </c>
      <c r="J31" s="8" t="s">
        <v>298</v>
      </c>
      <c r="K31" s="8" t="s">
        <v>298</v>
      </c>
      <c r="L31" s="9"/>
      <c r="M31" s="8"/>
      <c r="N31" s="10"/>
    </row>
    <row r="32" spans="1:14" ht="25.5" customHeight="1">
      <c r="A32" s="2">
        <v>30</v>
      </c>
      <c r="B32" s="6" t="s">
        <v>238</v>
      </c>
      <c r="C32" s="6" t="s">
        <v>253</v>
      </c>
      <c r="D32" s="2" t="s">
        <v>254</v>
      </c>
      <c r="E32" s="2" t="s">
        <v>58</v>
      </c>
      <c r="F32" s="2" t="s">
        <v>59</v>
      </c>
      <c r="G32" s="8" t="s">
        <v>296</v>
      </c>
      <c r="H32" s="8" t="s">
        <v>296</v>
      </c>
      <c r="I32" s="8" t="s">
        <v>296</v>
      </c>
      <c r="J32" s="8" t="s">
        <v>298</v>
      </c>
      <c r="K32" s="8" t="s">
        <v>298</v>
      </c>
      <c r="L32" s="9"/>
      <c r="M32" s="8"/>
      <c r="N32" s="10"/>
    </row>
  </sheetData>
  <autoFilter ref="A2:N32" xr:uid="{00000000-0009-0000-0000-000006000000}"/>
  <mergeCells count="1">
    <mergeCell ref="A1:N1"/>
  </mergeCells>
  <conditionalFormatting sqref="G3:H32">
    <cfRule type="cellIs" dxfId="55" priority="2" operator="equal">
      <formula>"Completed"</formula>
    </cfRule>
    <cfRule type="cellIs" dxfId="54" priority="3" operator="equal">
      <formula>"In Progress"</formula>
    </cfRule>
    <cfRule type="cellIs" dxfId="53" priority="4" operator="equal">
      <formula>"Dev Complete"</formula>
    </cfRule>
    <cfRule type="cellIs" dxfId="52" priority="5" operator="equal">
      <formula>"Code Review"</formula>
    </cfRule>
    <cfRule type="cellIs" dxfId="51" priority="6" operator="equal">
      <formula>"Blocked"</formula>
    </cfRule>
    <cfRule type="cellIs" dxfId="50" priority="7" operator="equal">
      <formula>"On Hold"</formula>
    </cfRule>
    <cfRule type="cellIs" dxfId="49" priority="8" operator="equal">
      <formula>"Not Applicable"</formula>
    </cfRule>
  </conditionalFormatting>
  <conditionalFormatting sqref="I3:I32">
    <cfRule type="cellIs" dxfId="48" priority="9" operator="equal">
      <formula>"Passed"</formula>
    </cfRule>
    <cfRule type="cellIs" dxfId="47" priority="10" operator="equal">
      <formula>"In Progress"</formula>
    </cfRule>
    <cfRule type="cellIs" dxfId="46" priority="11" operator="equal">
      <formula>"Re-Test"</formula>
    </cfRule>
    <cfRule type="cellIs" dxfId="45" priority="12" operator="equal">
      <formula>"Failed"</formula>
    </cfRule>
    <cfRule type="cellIs" dxfId="44" priority="13" operator="equal">
      <formula>"Blocked"</formula>
    </cfRule>
    <cfRule type="cellIs" dxfId="43" priority="14" operator="equal">
      <formula>"Not Applicable"</formula>
    </cfRule>
  </conditionalFormatting>
  <conditionalFormatting sqref="J3:K32">
    <cfRule type="cellIs" dxfId="42" priority="15" operator="equal">
      <formula>"Deployed"</formula>
    </cfRule>
    <cfRule type="cellIs" dxfId="41" priority="16" operator="equal">
      <formula>"Verified"</formula>
    </cfRule>
    <cfRule type="cellIs" dxfId="40" priority="17" operator="equal">
      <formula>"Ready for Deploy"</formula>
    </cfRule>
    <cfRule type="cellIs" dxfId="39" priority="18" operator="equal">
      <formula>"Deploy Failed"</formula>
    </cfRule>
    <cfRule type="cellIs" dxfId="38" priority="19" operator="equal">
      <formula>"Rolled Back"</formula>
    </cfRule>
    <cfRule type="cellIs" dxfId="37" priority="20" operator="equal">
      <formula>"Not Applicable"</formula>
    </cfRule>
  </conditionalFormatting>
  <conditionalFormatting sqref="F3:F32">
    <cfRule type="cellIs" dxfId="36" priority="21" operator="equal">
      <formula>"High"</formula>
    </cfRule>
    <cfRule type="cellIs" dxfId="35" priority="22" operator="equal">
      <formula>"Medium"</formula>
    </cfRule>
    <cfRule type="cellIs" dxfId="34" priority="23" operator="equal">
      <formula>"Low"</formula>
    </cfRule>
  </conditionalFormatting>
  <dataValidations count="5">
    <dataValidation type="list" allowBlank="1" sqref="E3:E32" xr:uid="{00000000-0002-0000-0600-000000000000}">
      <formula1>Layer</formula1>
      <formula2>0</formula2>
    </dataValidation>
    <dataValidation type="list" allowBlank="1" sqref="F3:F32" xr:uid="{00000000-0002-0000-0600-000001000000}">
      <formula1>Priority</formula1>
      <formula2>0</formula2>
    </dataValidation>
    <dataValidation type="list" allowBlank="1" sqref="G3:H32" xr:uid="{00000000-0002-0000-0600-000002000000}">
      <formula1>DevStatus</formula1>
      <formula2>0</formula2>
    </dataValidation>
    <dataValidation type="list" allowBlank="1" sqref="I3:I32" xr:uid="{00000000-0002-0000-0600-000003000000}">
      <formula1>QAStatus</formula1>
      <formula2>0</formula2>
    </dataValidation>
    <dataValidation type="list" allowBlank="1" sqref="J3:K32" xr:uid="{00000000-0002-0000-0600-000004000000}">
      <formula1>DeployStatus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9"/>
  <sheetViews>
    <sheetView showGridLines="0" zoomScaleNormal="100"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ColWidth="8.7109375" defaultRowHeight="15"/>
  <cols>
    <col min="1" max="1" width="6" customWidth="1"/>
    <col min="2" max="2" width="28" customWidth="1"/>
    <col min="3" max="3" width="48" customWidth="1"/>
    <col min="4" max="4" width="16" customWidth="1"/>
    <col min="5" max="5" width="12" customWidth="1"/>
    <col min="6" max="6" width="10" customWidth="1"/>
    <col min="7" max="8" width="15" customWidth="1"/>
    <col min="9" max="9" width="14" customWidth="1"/>
    <col min="10" max="12" width="16" customWidth="1"/>
    <col min="13" max="13" width="13" customWidth="1"/>
    <col min="14" max="14" width="38" customWidth="1"/>
  </cols>
  <sheetData>
    <row r="1" spans="1:14" ht="24" customHeight="1">
      <c r="A1" s="17" t="s">
        <v>316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27.75" customHeight="1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</row>
    <row r="3" spans="1:14" ht="25.5" customHeight="1">
      <c r="A3" s="2">
        <v>1</v>
      </c>
      <c r="B3" s="6" t="s">
        <v>255</v>
      </c>
      <c r="C3" s="6" t="s">
        <v>256</v>
      </c>
      <c r="D3" s="2" t="s">
        <v>257</v>
      </c>
      <c r="E3" s="2" t="s">
        <v>58</v>
      </c>
      <c r="F3" s="2" t="s">
        <v>59</v>
      </c>
      <c r="G3" s="8" t="s">
        <v>296</v>
      </c>
      <c r="H3" s="8" t="s">
        <v>296</v>
      </c>
      <c r="I3" s="8" t="s">
        <v>296</v>
      </c>
      <c r="J3" s="8" t="s">
        <v>298</v>
      </c>
      <c r="K3" s="8" t="s">
        <v>298</v>
      </c>
      <c r="L3" s="9"/>
      <c r="M3" s="8"/>
      <c r="N3" s="10"/>
    </row>
    <row r="4" spans="1:14" ht="25.5" customHeight="1">
      <c r="A4" s="2">
        <v>2</v>
      </c>
      <c r="B4" s="6" t="s">
        <v>255</v>
      </c>
      <c r="C4" s="6" t="s">
        <v>258</v>
      </c>
      <c r="D4" s="2" t="s">
        <v>257</v>
      </c>
      <c r="E4" s="2" t="s">
        <v>58</v>
      </c>
      <c r="F4" s="2" t="s">
        <v>59</v>
      </c>
      <c r="G4" s="8" t="s">
        <v>296</v>
      </c>
      <c r="H4" s="8" t="s">
        <v>296</v>
      </c>
      <c r="I4" s="8" t="s">
        <v>296</v>
      </c>
      <c r="J4" s="8" t="s">
        <v>298</v>
      </c>
      <c r="K4" s="8" t="s">
        <v>298</v>
      </c>
      <c r="L4" s="9"/>
      <c r="M4" s="8"/>
      <c r="N4" s="10"/>
    </row>
    <row r="5" spans="1:14" ht="25.5" customHeight="1">
      <c r="A5" s="2">
        <v>3</v>
      </c>
      <c r="B5" s="6" t="s">
        <v>255</v>
      </c>
      <c r="C5" s="6" t="s">
        <v>259</v>
      </c>
      <c r="D5" s="2" t="s">
        <v>257</v>
      </c>
      <c r="E5" s="2" t="s">
        <v>58</v>
      </c>
      <c r="F5" s="2" t="s">
        <v>59</v>
      </c>
      <c r="G5" s="8" t="s">
        <v>296</v>
      </c>
      <c r="H5" s="8" t="s">
        <v>296</v>
      </c>
      <c r="I5" s="8" t="s">
        <v>296</v>
      </c>
      <c r="J5" s="8" t="s">
        <v>298</v>
      </c>
      <c r="K5" s="8" t="s">
        <v>298</v>
      </c>
      <c r="L5" s="9"/>
      <c r="M5" s="8"/>
      <c r="N5" s="10"/>
    </row>
    <row r="6" spans="1:14" ht="25.5" customHeight="1">
      <c r="A6" s="2">
        <v>4</v>
      </c>
      <c r="B6" s="6" t="s">
        <v>255</v>
      </c>
      <c r="C6" s="6" t="s">
        <v>260</v>
      </c>
      <c r="D6" s="2" t="s">
        <v>257</v>
      </c>
      <c r="E6" s="2" t="s">
        <v>58</v>
      </c>
      <c r="F6" s="2" t="s">
        <v>59</v>
      </c>
      <c r="G6" s="8" t="s">
        <v>296</v>
      </c>
      <c r="H6" s="8" t="s">
        <v>296</v>
      </c>
      <c r="I6" s="8" t="s">
        <v>296</v>
      </c>
      <c r="J6" s="8" t="s">
        <v>298</v>
      </c>
      <c r="K6" s="8" t="s">
        <v>298</v>
      </c>
      <c r="L6" s="9"/>
      <c r="M6" s="8"/>
      <c r="N6" s="10"/>
    </row>
    <row r="7" spans="1:14" ht="25.5" customHeight="1">
      <c r="A7" s="2">
        <v>5</v>
      </c>
      <c r="B7" s="6" t="s">
        <v>255</v>
      </c>
      <c r="C7" s="6" t="s">
        <v>261</v>
      </c>
      <c r="D7" s="2" t="s">
        <v>257</v>
      </c>
      <c r="E7" s="2" t="s">
        <v>58</v>
      </c>
      <c r="F7" s="2" t="s">
        <v>59</v>
      </c>
      <c r="G7" s="8" t="s">
        <v>296</v>
      </c>
      <c r="H7" s="8" t="s">
        <v>296</v>
      </c>
      <c r="I7" s="8" t="s">
        <v>296</v>
      </c>
      <c r="J7" s="8" t="s">
        <v>298</v>
      </c>
      <c r="K7" s="8" t="s">
        <v>298</v>
      </c>
      <c r="L7" s="9"/>
      <c r="M7" s="8"/>
      <c r="N7" s="10"/>
    </row>
    <row r="8" spans="1:14" ht="25.5" customHeight="1">
      <c r="A8" s="2">
        <v>6</v>
      </c>
      <c r="B8" s="6" t="s">
        <v>255</v>
      </c>
      <c r="C8" s="6" t="s">
        <v>262</v>
      </c>
      <c r="D8" s="2" t="s">
        <v>257</v>
      </c>
      <c r="E8" s="2" t="s">
        <v>58</v>
      </c>
      <c r="F8" s="2" t="s">
        <v>68</v>
      </c>
      <c r="G8" s="8" t="s">
        <v>296</v>
      </c>
      <c r="H8" s="8" t="s">
        <v>296</v>
      </c>
      <c r="I8" s="8" t="s">
        <v>296</v>
      </c>
      <c r="J8" s="8" t="s">
        <v>298</v>
      </c>
      <c r="K8" s="8" t="s">
        <v>298</v>
      </c>
      <c r="L8" s="9"/>
      <c r="M8" s="8"/>
      <c r="N8" s="10"/>
    </row>
    <row r="9" spans="1:14" ht="25.5" customHeight="1">
      <c r="A9" s="2">
        <v>7</v>
      </c>
      <c r="B9" s="6" t="s">
        <v>255</v>
      </c>
      <c r="C9" s="6" t="s">
        <v>263</v>
      </c>
      <c r="D9" s="2" t="s">
        <v>264</v>
      </c>
      <c r="E9" s="2" t="s">
        <v>58</v>
      </c>
      <c r="F9" s="2" t="s">
        <v>59</v>
      </c>
      <c r="G9" s="8" t="s">
        <v>296</v>
      </c>
      <c r="H9" s="8" t="s">
        <v>296</v>
      </c>
      <c r="I9" s="8" t="s">
        <v>296</v>
      </c>
      <c r="J9" s="8" t="s">
        <v>298</v>
      </c>
      <c r="K9" s="8" t="s">
        <v>298</v>
      </c>
      <c r="L9" s="9"/>
      <c r="M9" s="8"/>
      <c r="N9" s="10"/>
    </row>
    <row r="10" spans="1:14" ht="25.5" customHeight="1">
      <c r="A10" s="2">
        <v>8</v>
      </c>
      <c r="B10" s="6" t="s">
        <v>255</v>
      </c>
      <c r="C10" s="6" t="s">
        <v>265</v>
      </c>
      <c r="D10" s="2" t="s">
        <v>257</v>
      </c>
      <c r="E10" s="2" t="s">
        <v>58</v>
      </c>
      <c r="F10" s="2" t="s">
        <v>68</v>
      </c>
      <c r="G10" s="8" t="s">
        <v>296</v>
      </c>
      <c r="H10" s="8" t="s">
        <v>296</v>
      </c>
      <c r="I10" s="8" t="s">
        <v>296</v>
      </c>
      <c r="J10" s="8" t="s">
        <v>298</v>
      </c>
      <c r="K10" s="8" t="s">
        <v>298</v>
      </c>
      <c r="L10" s="9"/>
      <c r="M10" s="8"/>
      <c r="N10" s="10"/>
    </row>
    <row r="11" spans="1:14" ht="25.5" customHeight="1">
      <c r="A11" s="2">
        <v>9</v>
      </c>
      <c r="B11" s="6" t="s">
        <v>255</v>
      </c>
      <c r="C11" s="6" t="s">
        <v>266</v>
      </c>
      <c r="D11" s="2" t="s">
        <v>254</v>
      </c>
      <c r="E11" s="2" t="s">
        <v>58</v>
      </c>
      <c r="F11" s="2" t="s">
        <v>59</v>
      </c>
      <c r="G11" s="8" t="s">
        <v>296</v>
      </c>
      <c r="H11" s="8" t="s">
        <v>296</v>
      </c>
      <c r="I11" s="8" t="s">
        <v>296</v>
      </c>
      <c r="J11" s="8" t="s">
        <v>298</v>
      </c>
      <c r="K11" s="8" t="s">
        <v>298</v>
      </c>
      <c r="L11" s="9"/>
      <c r="M11" s="8"/>
      <c r="N11" s="10"/>
    </row>
    <row r="12" spans="1:14" ht="25.5" customHeight="1">
      <c r="A12" s="2">
        <v>10</v>
      </c>
      <c r="B12" s="6" t="s">
        <v>267</v>
      </c>
      <c r="C12" s="6" t="s">
        <v>268</v>
      </c>
      <c r="D12" s="2" t="s">
        <v>269</v>
      </c>
      <c r="E12" s="2" t="s">
        <v>58</v>
      </c>
      <c r="F12" s="2" t="s">
        <v>59</v>
      </c>
      <c r="G12" s="8" t="s">
        <v>296</v>
      </c>
      <c r="H12" s="8" t="s">
        <v>296</v>
      </c>
      <c r="I12" s="8" t="s">
        <v>296</v>
      </c>
      <c r="J12" s="8" t="s">
        <v>298</v>
      </c>
      <c r="K12" s="8" t="s">
        <v>298</v>
      </c>
      <c r="L12" s="9"/>
      <c r="M12" s="8"/>
      <c r="N12" s="10"/>
    </row>
    <row r="13" spans="1:14" ht="25.5" customHeight="1">
      <c r="A13" s="2">
        <v>11</v>
      </c>
      <c r="B13" s="6" t="s">
        <v>267</v>
      </c>
      <c r="C13" s="6" t="s">
        <v>270</v>
      </c>
      <c r="D13" s="2" t="s">
        <v>269</v>
      </c>
      <c r="E13" s="2" t="s">
        <v>58</v>
      </c>
      <c r="F13" s="2" t="s">
        <v>59</v>
      </c>
      <c r="G13" s="8" t="s">
        <v>296</v>
      </c>
      <c r="H13" s="8" t="s">
        <v>296</v>
      </c>
      <c r="I13" s="8" t="s">
        <v>296</v>
      </c>
      <c r="J13" s="8" t="s">
        <v>298</v>
      </c>
      <c r="K13" s="8" t="s">
        <v>298</v>
      </c>
      <c r="L13" s="9"/>
      <c r="M13" s="8"/>
      <c r="N13" s="10"/>
    </row>
    <row r="14" spans="1:14" ht="25.5" customHeight="1">
      <c r="A14" s="2">
        <v>12</v>
      </c>
      <c r="B14" s="6" t="s">
        <v>267</v>
      </c>
      <c r="C14" s="6" t="s">
        <v>271</v>
      </c>
      <c r="D14" s="2" t="s">
        <v>272</v>
      </c>
      <c r="E14" s="2" t="s">
        <v>58</v>
      </c>
      <c r="F14" s="2" t="s">
        <v>59</v>
      </c>
      <c r="G14" s="8" t="s">
        <v>296</v>
      </c>
      <c r="H14" s="8" t="s">
        <v>296</v>
      </c>
      <c r="I14" s="8" t="s">
        <v>296</v>
      </c>
      <c r="J14" s="8" t="s">
        <v>298</v>
      </c>
      <c r="K14" s="8" t="s">
        <v>298</v>
      </c>
      <c r="L14" s="9"/>
      <c r="M14" s="8"/>
      <c r="N14" s="10"/>
    </row>
    <row r="15" spans="1:14" ht="25.5" customHeight="1">
      <c r="A15" s="2">
        <v>13</v>
      </c>
      <c r="B15" s="6" t="s">
        <v>267</v>
      </c>
      <c r="C15" s="6" t="s">
        <v>273</v>
      </c>
      <c r="D15" s="2" t="s">
        <v>269</v>
      </c>
      <c r="E15" s="2" t="s">
        <v>65</v>
      </c>
      <c r="F15" s="2" t="s">
        <v>59</v>
      </c>
      <c r="G15" s="8" t="s">
        <v>296</v>
      </c>
      <c r="H15" s="8" t="s">
        <v>296</v>
      </c>
      <c r="I15" s="8" t="s">
        <v>296</v>
      </c>
      <c r="J15" s="8" t="s">
        <v>298</v>
      </c>
      <c r="K15" s="8" t="s">
        <v>298</v>
      </c>
      <c r="L15" s="9"/>
      <c r="M15" s="8"/>
      <c r="N15" s="10"/>
    </row>
    <row r="16" spans="1:14" ht="25.5" customHeight="1">
      <c r="A16" s="2">
        <v>14</v>
      </c>
      <c r="B16" s="6" t="s">
        <v>267</v>
      </c>
      <c r="C16" s="6" t="s">
        <v>274</v>
      </c>
      <c r="D16" s="2" t="s">
        <v>269</v>
      </c>
      <c r="E16" s="2" t="s">
        <v>65</v>
      </c>
      <c r="F16" s="2" t="s">
        <v>59</v>
      </c>
      <c r="G16" s="8" t="s">
        <v>296</v>
      </c>
      <c r="H16" s="8" t="s">
        <v>296</v>
      </c>
      <c r="I16" s="8" t="s">
        <v>296</v>
      </c>
      <c r="J16" s="8" t="s">
        <v>298</v>
      </c>
      <c r="K16" s="8" t="s">
        <v>298</v>
      </c>
      <c r="L16" s="9"/>
      <c r="M16" s="8"/>
      <c r="N16" s="10"/>
    </row>
    <row r="17" spans="1:14" ht="25.5" customHeight="1">
      <c r="A17" s="2">
        <v>15</v>
      </c>
      <c r="B17" s="6" t="s">
        <v>267</v>
      </c>
      <c r="C17" s="6" t="s">
        <v>275</v>
      </c>
      <c r="D17" s="2" t="s">
        <v>276</v>
      </c>
      <c r="E17" s="2" t="s">
        <v>58</v>
      </c>
      <c r="F17" s="2" t="s">
        <v>59</v>
      </c>
      <c r="G17" s="8" t="s">
        <v>296</v>
      </c>
      <c r="H17" s="8" t="s">
        <v>296</v>
      </c>
      <c r="I17" s="8" t="s">
        <v>296</v>
      </c>
      <c r="J17" s="8" t="s">
        <v>298</v>
      </c>
      <c r="K17" s="8" t="s">
        <v>298</v>
      </c>
      <c r="L17" s="9"/>
      <c r="M17" s="8"/>
      <c r="N17" s="10"/>
    </row>
    <row r="18" spans="1:14" ht="25.5" customHeight="1">
      <c r="A18" s="2">
        <v>16</v>
      </c>
      <c r="B18" s="6" t="s">
        <v>277</v>
      </c>
      <c r="C18" s="6" t="s">
        <v>278</v>
      </c>
      <c r="D18" s="2" t="s">
        <v>254</v>
      </c>
      <c r="E18" s="2" t="s">
        <v>58</v>
      </c>
      <c r="F18" s="2" t="s">
        <v>59</v>
      </c>
      <c r="G18" s="8" t="s">
        <v>296</v>
      </c>
      <c r="H18" s="8" t="s">
        <v>296</v>
      </c>
      <c r="I18" s="8" t="s">
        <v>296</v>
      </c>
      <c r="J18" s="8" t="s">
        <v>298</v>
      </c>
      <c r="K18" s="8" t="s">
        <v>298</v>
      </c>
      <c r="L18" s="9"/>
      <c r="M18" s="8"/>
      <c r="N18" s="10"/>
    </row>
    <row r="19" spans="1:14" ht="25.5" customHeight="1">
      <c r="A19" s="2">
        <v>17</v>
      </c>
      <c r="B19" s="6" t="s">
        <v>277</v>
      </c>
      <c r="C19" s="6" t="s">
        <v>279</v>
      </c>
      <c r="D19" s="2" t="s">
        <v>269</v>
      </c>
      <c r="E19" s="2" t="s">
        <v>58</v>
      </c>
      <c r="F19" s="2" t="s">
        <v>59</v>
      </c>
      <c r="G19" s="8" t="s">
        <v>296</v>
      </c>
      <c r="H19" s="8" t="s">
        <v>296</v>
      </c>
      <c r="I19" s="8" t="s">
        <v>296</v>
      </c>
      <c r="J19" s="8" t="s">
        <v>298</v>
      </c>
      <c r="K19" s="8" t="s">
        <v>298</v>
      </c>
      <c r="L19" s="9"/>
      <c r="M19" s="8"/>
      <c r="N19" s="10"/>
    </row>
    <row r="20" spans="1:14" ht="25.5" customHeight="1">
      <c r="A20" s="2">
        <v>18</v>
      </c>
      <c r="B20" s="6" t="s">
        <v>277</v>
      </c>
      <c r="C20" s="6" t="s">
        <v>280</v>
      </c>
      <c r="D20" s="2" t="s">
        <v>254</v>
      </c>
      <c r="E20" s="2" t="s">
        <v>58</v>
      </c>
      <c r="F20" s="2" t="s">
        <v>59</v>
      </c>
      <c r="G20" s="8" t="s">
        <v>296</v>
      </c>
      <c r="H20" s="8" t="s">
        <v>296</v>
      </c>
      <c r="I20" s="8" t="s">
        <v>296</v>
      </c>
      <c r="J20" s="8" t="s">
        <v>298</v>
      </c>
      <c r="K20" s="8" t="s">
        <v>298</v>
      </c>
      <c r="L20" s="9"/>
      <c r="M20" s="8"/>
      <c r="N20" s="10"/>
    </row>
    <row r="21" spans="1:14" ht="25.5" customHeight="1">
      <c r="A21" s="2">
        <v>19</v>
      </c>
      <c r="B21" s="6" t="s">
        <v>277</v>
      </c>
      <c r="C21" s="6" t="s">
        <v>281</v>
      </c>
      <c r="D21" s="2" t="s">
        <v>254</v>
      </c>
      <c r="E21" s="2" t="s">
        <v>58</v>
      </c>
      <c r="F21" s="2" t="s">
        <v>59</v>
      </c>
      <c r="G21" s="8" t="s">
        <v>296</v>
      </c>
      <c r="H21" s="8" t="s">
        <v>296</v>
      </c>
      <c r="I21" s="8" t="s">
        <v>296</v>
      </c>
      <c r="J21" s="8" t="s">
        <v>298</v>
      </c>
      <c r="K21" s="8" t="s">
        <v>298</v>
      </c>
      <c r="L21" s="9"/>
      <c r="M21" s="8"/>
      <c r="N21" s="10"/>
    </row>
    <row r="22" spans="1:14" ht="25.5" customHeight="1">
      <c r="A22" s="2">
        <v>20</v>
      </c>
      <c r="B22" s="6" t="s">
        <v>277</v>
      </c>
      <c r="C22" s="6" t="s">
        <v>282</v>
      </c>
      <c r="D22" s="2" t="s">
        <v>57</v>
      </c>
      <c r="E22" s="2" t="s">
        <v>58</v>
      </c>
      <c r="F22" s="2" t="s">
        <v>59</v>
      </c>
      <c r="G22" s="8" t="s">
        <v>296</v>
      </c>
      <c r="H22" s="8" t="s">
        <v>296</v>
      </c>
      <c r="I22" s="8" t="s">
        <v>296</v>
      </c>
      <c r="J22" s="8" t="s">
        <v>298</v>
      </c>
      <c r="K22" s="8" t="s">
        <v>298</v>
      </c>
      <c r="L22" s="9"/>
      <c r="M22" s="8"/>
      <c r="N22" s="10"/>
    </row>
    <row r="23" spans="1:14" ht="25.5" customHeight="1">
      <c r="A23" s="2">
        <v>21</v>
      </c>
      <c r="B23" s="6" t="s">
        <v>277</v>
      </c>
      <c r="C23" s="6" t="s">
        <v>283</v>
      </c>
      <c r="D23" s="2" t="s">
        <v>254</v>
      </c>
      <c r="E23" s="2" t="s">
        <v>58</v>
      </c>
      <c r="F23" s="2" t="s">
        <v>59</v>
      </c>
      <c r="G23" s="8" t="s">
        <v>296</v>
      </c>
      <c r="H23" s="8" t="s">
        <v>296</v>
      </c>
      <c r="I23" s="8" t="s">
        <v>296</v>
      </c>
      <c r="J23" s="8" t="s">
        <v>298</v>
      </c>
      <c r="K23" s="8" t="s">
        <v>298</v>
      </c>
      <c r="L23" s="9"/>
      <c r="M23" s="8"/>
      <c r="N23" s="10"/>
    </row>
    <row r="24" spans="1:14" ht="25.5" customHeight="1">
      <c r="A24" s="2">
        <v>22</v>
      </c>
      <c r="B24" s="6" t="s">
        <v>277</v>
      </c>
      <c r="C24" s="6" t="s">
        <v>284</v>
      </c>
      <c r="D24" s="2" t="s">
        <v>285</v>
      </c>
      <c r="E24" s="2" t="s">
        <v>58</v>
      </c>
      <c r="F24" s="2" t="s">
        <v>59</v>
      </c>
      <c r="G24" s="8" t="s">
        <v>296</v>
      </c>
      <c r="H24" s="8" t="s">
        <v>296</v>
      </c>
      <c r="I24" s="8" t="s">
        <v>296</v>
      </c>
      <c r="J24" s="8" t="s">
        <v>298</v>
      </c>
      <c r="K24" s="8" t="s">
        <v>298</v>
      </c>
      <c r="L24" s="9"/>
      <c r="M24" s="8"/>
      <c r="N24" s="10"/>
    </row>
    <row r="25" spans="1:14" ht="25.5" customHeight="1">
      <c r="A25" s="2">
        <v>23</v>
      </c>
      <c r="B25" s="6" t="s">
        <v>277</v>
      </c>
      <c r="C25" s="6" t="s">
        <v>286</v>
      </c>
      <c r="D25" s="2" t="s">
        <v>287</v>
      </c>
      <c r="E25" s="2" t="s">
        <v>58</v>
      </c>
      <c r="F25" s="2" t="s">
        <v>59</v>
      </c>
      <c r="G25" s="8" t="s">
        <v>296</v>
      </c>
      <c r="H25" s="8" t="s">
        <v>296</v>
      </c>
      <c r="I25" s="8" t="s">
        <v>296</v>
      </c>
      <c r="J25" s="8" t="s">
        <v>298</v>
      </c>
      <c r="K25" s="8" t="s">
        <v>298</v>
      </c>
      <c r="L25" s="9"/>
      <c r="M25" s="8"/>
      <c r="N25" s="10"/>
    </row>
    <row r="26" spans="1:14" ht="25.5" customHeight="1">
      <c r="A26" s="2">
        <v>24</v>
      </c>
      <c r="B26" s="6" t="s">
        <v>277</v>
      </c>
      <c r="C26" s="6" t="s">
        <v>288</v>
      </c>
      <c r="D26" s="2" t="s">
        <v>289</v>
      </c>
      <c r="E26" s="2" t="s">
        <v>58</v>
      </c>
      <c r="F26" s="2" t="s">
        <v>59</v>
      </c>
      <c r="G26" s="8" t="s">
        <v>296</v>
      </c>
      <c r="H26" s="8" t="s">
        <v>296</v>
      </c>
      <c r="I26" s="8" t="s">
        <v>296</v>
      </c>
      <c r="J26" s="8" t="s">
        <v>298</v>
      </c>
      <c r="K26" s="8" t="s">
        <v>298</v>
      </c>
      <c r="L26" s="9"/>
      <c r="M26" s="8"/>
      <c r="N26" s="10"/>
    </row>
    <row r="27" spans="1:14" ht="25.5" customHeight="1">
      <c r="A27" s="2">
        <v>25</v>
      </c>
      <c r="B27" s="6" t="s">
        <v>277</v>
      </c>
      <c r="C27" s="6" t="s">
        <v>290</v>
      </c>
      <c r="D27" s="2" t="s">
        <v>291</v>
      </c>
      <c r="E27" s="2" t="s">
        <v>58</v>
      </c>
      <c r="F27" s="2" t="s">
        <v>68</v>
      </c>
      <c r="G27" s="8" t="s">
        <v>296</v>
      </c>
      <c r="H27" s="8" t="s">
        <v>296</v>
      </c>
      <c r="I27" s="8" t="s">
        <v>296</v>
      </c>
      <c r="J27" s="8" t="s">
        <v>298</v>
      </c>
      <c r="K27" s="8" t="s">
        <v>298</v>
      </c>
      <c r="L27" s="9"/>
      <c r="M27" s="8"/>
      <c r="N27" s="10"/>
    </row>
    <row r="28" spans="1:14" ht="25.5" customHeight="1">
      <c r="A28" s="2">
        <v>26</v>
      </c>
      <c r="B28" s="6" t="s">
        <v>277</v>
      </c>
      <c r="C28" s="6" t="s">
        <v>292</v>
      </c>
      <c r="D28" s="2" t="s">
        <v>291</v>
      </c>
      <c r="E28" s="2" t="s">
        <v>58</v>
      </c>
      <c r="F28" s="2" t="s">
        <v>59</v>
      </c>
      <c r="G28" s="8" t="s">
        <v>296</v>
      </c>
      <c r="H28" s="8" t="s">
        <v>296</v>
      </c>
      <c r="I28" s="8" t="s">
        <v>296</v>
      </c>
      <c r="J28" s="8" t="s">
        <v>298</v>
      </c>
      <c r="K28" s="8" t="s">
        <v>298</v>
      </c>
      <c r="L28" s="9"/>
      <c r="M28" s="8"/>
      <c r="N28" s="10"/>
    </row>
    <row r="29" spans="1:14" ht="25.5" customHeight="1">
      <c r="A29" s="2">
        <v>27</v>
      </c>
      <c r="B29" s="6" t="s">
        <v>277</v>
      </c>
      <c r="C29" s="6" t="s">
        <v>293</v>
      </c>
      <c r="D29" s="2" t="s">
        <v>291</v>
      </c>
      <c r="E29" s="2" t="s">
        <v>58</v>
      </c>
      <c r="F29" s="2" t="s">
        <v>59</v>
      </c>
      <c r="G29" s="8" t="s">
        <v>296</v>
      </c>
      <c r="H29" s="8" t="s">
        <v>296</v>
      </c>
      <c r="I29" s="8" t="s">
        <v>296</v>
      </c>
      <c r="J29" s="8" t="s">
        <v>298</v>
      </c>
      <c r="K29" s="8" t="s">
        <v>298</v>
      </c>
      <c r="L29" s="9"/>
      <c r="M29" s="8"/>
      <c r="N29" s="10"/>
    </row>
  </sheetData>
  <autoFilter ref="A2:N29" xr:uid="{00000000-0009-0000-0000-000007000000}"/>
  <mergeCells count="1">
    <mergeCell ref="A1:N1"/>
  </mergeCells>
  <conditionalFormatting sqref="G3:H29">
    <cfRule type="cellIs" dxfId="33" priority="2" operator="equal">
      <formula>"Completed"</formula>
    </cfRule>
    <cfRule type="cellIs" dxfId="32" priority="3" operator="equal">
      <formula>"In Progress"</formula>
    </cfRule>
    <cfRule type="cellIs" dxfId="31" priority="4" operator="equal">
      <formula>"Dev Complete"</formula>
    </cfRule>
    <cfRule type="cellIs" dxfId="30" priority="5" operator="equal">
      <formula>"Code Review"</formula>
    </cfRule>
    <cfRule type="cellIs" dxfId="29" priority="6" operator="equal">
      <formula>"Blocked"</formula>
    </cfRule>
    <cfRule type="cellIs" dxfId="28" priority="7" operator="equal">
      <formula>"On Hold"</formula>
    </cfRule>
    <cfRule type="cellIs" dxfId="27" priority="8" operator="equal">
      <formula>"Not Applicable"</formula>
    </cfRule>
  </conditionalFormatting>
  <conditionalFormatting sqref="I3:I29">
    <cfRule type="cellIs" dxfId="26" priority="9" operator="equal">
      <formula>"Passed"</formula>
    </cfRule>
    <cfRule type="cellIs" dxfId="25" priority="10" operator="equal">
      <formula>"In Progress"</formula>
    </cfRule>
    <cfRule type="cellIs" dxfId="24" priority="11" operator="equal">
      <formula>"Re-Test"</formula>
    </cfRule>
    <cfRule type="cellIs" dxfId="23" priority="12" operator="equal">
      <formula>"Failed"</formula>
    </cfRule>
    <cfRule type="cellIs" dxfId="22" priority="13" operator="equal">
      <formula>"Blocked"</formula>
    </cfRule>
    <cfRule type="cellIs" dxfId="21" priority="14" operator="equal">
      <formula>"Not Applicable"</formula>
    </cfRule>
  </conditionalFormatting>
  <conditionalFormatting sqref="J3:K29">
    <cfRule type="cellIs" dxfId="20" priority="15" operator="equal">
      <formula>"Deployed"</formula>
    </cfRule>
    <cfRule type="cellIs" dxfId="19" priority="16" operator="equal">
      <formula>"Verified"</formula>
    </cfRule>
    <cfRule type="cellIs" dxfId="18" priority="17" operator="equal">
      <formula>"Ready for Deploy"</formula>
    </cfRule>
    <cfRule type="cellIs" dxfId="17" priority="18" operator="equal">
      <formula>"Deploy Failed"</formula>
    </cfRule>
    <cfRule type="cellIs" dxfId="16" priority="19" operator="equal">
      <formula>"Rolled Back"</formula>
    </cfRule>
    <cfRule type="cellIs" dxfId="15" priority="20" operator="equal">
      <formula>"Not Applicable"</formula>
    </cfRule>
  </conditionalFormatting>
  <conditionalFormatting sqref="F3:F29">
    <cfRule type="cellIs" dxfId="14" priority="21" operator="equal">
      <formula>"High"</formula>
    </cfRule>
    <cfRule type="cellIs" dxfId="13" priority="22" operator="equal">
      <formula>"Medium"</formula>
    </cfRule>
    <cfRule type="cellIs" dxfId="12" priority="23" operator="equal">
      <formula>"Low"</formula>
    </cfRule>
  </conditionalFormatting>
  <dataValidations count="5">
    <dataValidation type="list" allowBlank="1" sqref="E3:E29" xr:uid="{00000000-0002-0000-0700-000000000000}">
      <formula1>Layer</formula1>
      <formula2>0</formula2>
    </dataValidation>
    <dataValidation type="list" allowBlank="1" sqref="F3:F29" xr:uid="{00000000-0002-0000-0700-000001000000}">
      <formula1>Priority</formula1>
      <formula2>0</formula2>
    </dataValidation>
    <dataValidation type="list" allowBlank="1" sqref="G3:H29" xr:uid="{00000000-0002-0000-0700-000002000000}">
      <formula1>DevStatus</formula1>
      <formula2>0</formula2>
    </dataValidation>
    <dataValidation type="list" allowBlank="1" sqref="I3:I29" xr:uid="{00000000-0002-0000-0700-000003000000}">
      <formula1>QAStatus</formula1>
      <formula2>0</formula2>
    </dataValidation>
    <dataValidation type="list" allowBlank="1" sqref="J3:K29" xr:uid="{00000000-0002-0000-0700-000004000000}">
      <formula1>DeployStatus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6"/>
  <sheetViews>
    <sheetView showGridLines="0" zoomScaleNormal="100" workbookViewId="0">
      <pane xSplit="2" ySplit="2" topLeftCell="C3" activePane="bottomRight" state="frozen"/>
      <selection pane="bottomRight" activeCell="I21" sqref="I21"/>
      <selection pane="bottomLeft" activeCell="A39" sqref="A39"/>
      <selection pane="topRight" activeCell="C1" sqref="C1"/>
    </sheetView>
  </sheetViews>
  <sheetFormatPr defaultColWidth="8.7109375" defaultRowHeight="15"/>
  <cols>
    <col min="1" max="1" width="11" customWidth="1"/>
    <col min="2" max="2" width="9" customWidth="1"/>
    <col min="3" max="3" width="52" customWidth="1"/>
    <col min="4" max="4" width="20" customWidth="1"/>
    <col min="5" max="5" width="11" customWidth="1"/>
    <col min="6" max="6" width="26" customWidth="1"/>
    <col min="7" max="7" width="28" customWidth="1"/>
    <col min="8" max="9" width="16" customWidth="1"/>
    <col min="10" max="10" width="34" customWidth="1"/>
  </cols>
  <sheetData>
    <row r="1" spans="1:10" ht="24" customHeight="1">
      <c r="A1" s="17" t="s">
        <v>317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7.75" customHeight="1">
      <c r="A2" s="1" t="s">
        <v>318</v>
      </c>
      <c r="B2" s="1" t="s">
        <v>1</v>
      </c>
      <c r="C2" s="1" t="s">
        <v>319</v>
      </c>
      <c r="D2" s="1" t="s">
        <v>320</v>
      </c>
      <c r="E2" s="1" t="s">
        <v>321</v>
      </c>
      <c r="F2" s="1" t="s">
        <v>52</v>
      </c>
      <c r="G2" s="1" t="s">
        <v>322</v>
      </c>
      <c r="H2" s="1" t="s">
        <v>323</v>
      </c>
      <c r="I2" s="1" t="s">
        <v>324</v>
      </c>
      <c r="J2" s="1" t="s">
        <v>54</v>
      </c>
    </row>
    <row r="3" spans="1:10" ht="25.5" customHeight="1">
      <c r="A3" s="11" t="s">
        <v>325</v>
      </c>
      <c r="B3" s="11" t="s">
        <v>16</v>
      </c>
      <c r="C3" s="12" t="s">
        <v>326</v>
      </c>
      <c r="D3" s="12" t="s">
        <v>327</v>
      </c>
      <c r="E3" s="13" t="s">
        <v>328</v>
      </c>
      <c r="F3" s="12" t="s">
        <v>329</v>
      </c>
      <c r="G3" s="12" t="s">
        <v>330</v>
      </c>
      <c r="H3" s="11" t="s">
        <v>331</v>
      </c>
      <c r="I3" s="14" t="s">
        <v>296</v>
      </c>
      <c r="J3" s="15" t="s">
        <v>332</v>
      </c>
    </row>
    <row r="4" spans="1:10" ht="25.5" customHeight="1">
      <c r="A4" s="11" t="s">
        <v>333</v>
      </c>
      <c r="B4" s="11" t="s">
        <v>16</v>
      </c>
      <c r="C4" s="12" t="s">
        <v>334</v>
      </c>
      <c r="D4" s="12" t="s">
        <v>335</v>
      </c>
      <c r="E4" s="13" t="s">
        <v>328</v>
      </c>
      <c r="F4" s="12" t="s">
        <v>336</v>
      </c>
      <c r="G4" s="12" t="s">
        <v>337</v>
      </c>
      <c r="H4" s="11" t="s">
        <v>331</v>
      </c>
      <c r="I4" s="14" t="s">
        <v>338</v>
      </c>
      <c r="J4" s="15"/>
    </row>
    <row r="5" spans="1:10" ht="25.5" customHeight="1">
      <c r="A5" s="11" t="s">
        <v>339</v>
      </c>
      <c r="B5" s="11" t="s">
        <v>16</v>
      </c>
      <c r="C5" s="12" t="s">
        <v>340</v>
      </c>
      <c r="D5" s="12" t="s">
        <v>341</v>
      </c>
      <c r="E5" s="13" t="s">
        <v>342</v>
      </c>
      <c r="F5" s="12" t="s">
        <v>343</v>
      </c>
      <c r="G5" s="12" t="s">
        <v>344</v>
      </c>
      <c r="H5" s="11" t="s">
        <v>331</v>
      </c>
      <c r="I5" s="14" t="s">
        <v>296</v>
      </c>
      <c r="J5" s="15"/>
    </row>
    <row r="6" spans="1:10" ht="25.5" customHeight="1">
      <c r="A6" s="11" t="s">
        <v>345</v>
      </c>
      <c r="B6" s="11" t="s">
        <v>16</v>
      </c>
      <c r="C6" s="12" t="s">
        <v>346</v>
      </c>
      <c r="D6" s="12" t="s">
        <v>347</v>
      </c>
      <c r="E6" s="13" t="s">
        <v>342</v>
      </c>
      <c r="F6" s="12" t="s">
        <v>348</v>
      </c>
      <c r="G6" s="12" t="s">
        <v>330</v>
      </c>
      <c r="H6" s="11" t="s">
        <v>331</v>
      </c>
      <c r="I6" s="14" t="s">
        <v>296</v>
      </c>
      <c r="J6" s="15"/>
    </row>
    <row r="7" spans="1:10" ht="25.5" customHeight="1">
      <c r="A7" s="11" t="s">
        <v>349</v>
      </c>
      <c r="B7" s="11" t="s">
        <v>16</v>
      </c>
      <c r="C7" s="12" t="s">
        <v>350</v>
      </c>
      <c r="D7" s="12" t="s">
        <v>351</v>
      </c>
      <c r="E7" s="13" t="s">
        <v>342</v>
      </c>
      <c r="F7" s="12" t="s">
        <v>352</v>
      </c>
      <c r="G7" s="12" t="s">
        <v>353</v>
      </c>
      <c r="H7" s="11" t="s">
        <v>331</v>
      </c>
      <c r="I7" s="14" t="s">
        <v>296</v>
      </c>
      <c r="J7" s="15" t="s">
        <v>354</v>
      </c>
    </row>
    <row r="8" spans="1:10" ht="25.5" customHeight="1">
      <c r="A8" s="11" t="s">
        <v>355</v>
      </c>
      <c r="B8" s="11" t="s">
        <v>16</v>
      </c>
      <c r="C8" s="12" t="s">
        <v>356</v>
      </c>
      <c r="D8" s="12" t="s">
        <v>357</v>
      </c>
      <c r="E8" s="13" t="s">
        <v>342</v>
      </c>
      <c r="F8" s="12" t="s">
        <v>358</v>
      </c>
      <c r="G8" s="12" t="s">
        <v>353</v>
      </c>
      <c r="H8" s="11" t="s">
        <v>331</v>
      </c>
      <c r="I8" s="14" t="s">
        <v>338</v>
      </c>
      <c r="J8" s="15"/>
    </row>
    <row r="9" spans="1:10" ht="25.5" customHeight="1">
      <c r="A9" s="11" t="s">
        <v>359</v>
      </c>
      <c r="B9" s="11" t="s">
        <v>16</v>
      </c>
      <c r="C9" s="12" t="s">
        <v>360</v>
      </c>
      <c r="D9" s="12" t="s">
        <v>347</v>
      </c>
      <c r="E9" s="13" t="s">
        <v>342</v>
      </c>
      <c r="F9" s="12" t="s">
        <v>361</v>
      </c>
      <c r="G9" s="12" t="s">
        <v>330</v>
      </c>
      <c r="H9" s="11" t="s">
        <v>331</v>
      </c>
      <c r="I9" s="14" t="s">
        <v>338</v>
      </c>
      <c r="J9" s="15"/>
    </row>
    <row r="10" spans="1:10" ht="25.5" customHeight="1">
      <c r="A10" s="11" t="s">
        <v>362</v>
      </c>
      <c r="B10" s="11" t="s">
        <v>16</v>
      </c>
      <c r="C10" s="12" t="s">
        <v>363</v>
      </c>
      <c r="D10" s="12" t="s">
        <v>364</v>
      </c>
      <c r="E10" s="13" t="s">
        <v>342</v>
      </c>
      <c r="F10" s="12" t="s">
        <v>365</v>
      </c>
      <c r="G10" s="12" t="s">
        <v>366</v>
      </c>
      <c r="H10" s="11" t="s">
        <v>367</v>
      </c>
      <c r="I10" s="14" t="s">
        <v>308</v>
      </c>
      <c r="J10" s="15"/>
    </row>
    <row r="11" spans="1:10" ht="25.5" customHeight="1">
      <c r="A11" s="11" t="s">
        <v>368</v>
      </c>
      <c r="B11" s="11" t="s">
        <v>16</v>
      </c>
      <c r="C11" s="12" t="s">
        <v>369</v>
      </c>
      <c r="D11" s="12" t="s">
        <v>364</v>
      </c>
      <c r="E11" s="13" t="s">
        <v>342</v>
      </c>
      <c r="F11" s="12" t="s">
        <v>365</v>
      </c>
      <c r="G11" s="12" t="s">
        <v>366</v>
      </c>
      <c r="H11" s="11" t="s">
        <v>367</v>
      </c>
      <c r="I11" s="14" t="s">
        <v>308</v>
      </c>
      <c r="J11" s="15"/>
    </row>
    <row r="12" spans="1:10" ht="25.5" customHeight="1">
      <c r="A12" s="11" t="s">
        <v>370</v>
      </c>
      <c r="B12" s="11" t="s">
        <v>16</v>
      </c>
      <c r="C12" s="12" t="s">
        <v>371</v>
      </c>
      <c r="D12" s="12" t="s">
        <v>341</v>
      </c>
      <c r="E12" s="13" t="s">
        <v>342</v>
      </c>
      <c r="F12" s="12" t="s">
        <v>329</v>
      </c>
      <c r="G12" s="12" t="s">
        <v>344</v>
      </c>
      <c r="H12" s="11" t="s">
        <v>331</v>
      </c>
      <c r="I12" s="14" t="s">
        <v>296</v>
      </c>
      <c r="J12" s="15" t="s">
        <v>372</v>
      </c>
    </row>
    <row r="13" spans="1:10" ht="25.5" customHeight="1">
      <c r="A13" s="11" t="s">
        <v>373</v>
      </c>
      <c r="B13" s="11" t="s">
        <v>16</v>
      </c>
      <c r="C13" s="12" t="s">
        <v>374</v>
      </c>
      <c r="D13" s="12" t="s">
        <v>347</v>
      </c>
      <c r="E13" s="13" t="s">
        <v>342</v>
      </c>
      <c r="F13" s="12" t="s">
        <v>329</v>
      </c>
      <c r="G13" s="12" t="s">
        <v>330</v>
      </c>
      <c r="H13" s="11" t="s">
        <v>331</v>
      </c>
      <c r="I13" s="14" t="s">
        <v>296</v>
      </c>
      <c r="J13" s="15"/>
    </row>
    <row r="14" spans="1:10" ht="25.5" customHeight="1">
      <c r="A14" s="11" t="s">
        <v>375</v>
      </c>
      <c r="B14" s="11" t="s">
        <v>16</v>
      </c>
      <c r="C14" s="12" t="s">
        <v>376</v>
      </c>
      <c r="D14" s="12" t="s">
        <v>357</v>
      </c>
      <c r="E14" s="13" t="s">
        <v>342</v>
      </c>
      <c r="F14" s="12" t="s">
        <v>377</v>
      </c>
      <c r="G14" s="12" t="s">
        <v>353</v>
      </c>
      <c r="H14" s="11" t="s">
        <v>331</v>
      </c>
      <c r="I14" s="14" t="s">
        <v>296</v>
      </c>
      <c r="J14" s="15"/>
    </row>
    <row r="15" spans="1:10" ht="25.5" customHeight="1">
      <c r="A15" s="11" t="s">
        <v>378</v>
      </c>
      <c r="B15" s="11" t="s">
        <v>20</v>
      </c>
      <c r="C15" s="12" t="s">
        <v>379</v>
      </c>
      <c r="D15" s="12" t="s">
        <v>341</v>
      </c>
      <c r="E15" s="13" t="s">
        <v>342</v>
      </c>
      <c r="F15" s="12" t="s">
        <v>343</v>
      </c>
      <c r="G15" s="12" t="s">
        <v>344</v>
      </c>
      <c r="H15" s="11" t="s">
        <v>380</v>
      </c>
      <c r="I15" s="14" t="s">
        <v>296</v>
      </c>
      <c r="J15" s="15"/>
    </row>
    <row r="16" spans="1:10" ht="25.5" customHeight="1">
      <c r="A16" s="11" t="s">
        <v>381</v>
      </c>
      <c r="B16" s="11" t="s">
        <v>20</v>
      </c>
      <c r="C16" s="12" t="s">
        <v>382</v>
      </c>
      <c r="D16" s="12" t="s">
        <v>383</v>
      </c>
      <c r="E16" s="13" t="s">
        <v>328</v>
      </c>
      <c r="F16" s="12" t="s">
        <v>384</v>
      </c>
      <c r="G16" s="12" t="s">
        <v>385</v>
      </c>
      <c r="H16" s="11" t="s">
        <v>380</v>
      </c>
      <c r="I16" s="14" t="s">
        <v>296</v>
      </c>
      <c r="J16" s="15"/>
    </row>
    <row r="17" spans="1:10" ht="25.5" customHeight="1">
      <c r="A17" s="11" t="s">
        <v>386</v>
      </c>
      <c r="B17" s="11" t="s">
        <v>20</v>
      </c>
      <c r="C17" s="12" t="s">
        <v>387</v>
      </c>
      <c r="D17" s="12" t="s">
        <v>335</v>
      </c>
      <c r="E17" s="13" t="s">
        <v>328</v>
      </c>
      <c r="F17" s="12" t="s">
        <v>388</v>
      </c>
      <c r="G17" s="12" t="s">
        <v>337</v>
      </c>
      <c r="H17" s="11" t="s">
        <v>380</v>
      </c>
      <c r="I17" s="14" t="s">
        <v>296</v>
      </c>
      <c r="J17" s="15" t="s">
        <v>389</v>
      </c>
    </row>
    <row r="18" spans="1:10" ht="25.5" customHeight="1">
      <c r="A18" s="11" t="s">
        <v>390</v>
      </c>
      <c r="B18" s="11" t="s">
        <v>20</v>
      </c>
      <c r="C18" s="12" t="s">
        <v>391</v>
      </c>
      <c r="D18" s="12" t="s">
        <v>335</v>
      </c>
      <c r="E18" s="13" t="s">
        <v>328</v>
      </c>
      <c r="F18" s="12" t="s">
        <v>392</v>
      </c>
      <c r="G18" s="12" t="s">
        <v>337</v>
      </c>
      <c r="H18" s="11" t="s">
        <v>380</v>
      </c>
      <c r="I18" s="14" t="s">
        <v>296</v>
      </c>
      <c r="J18" s="15" t="s">
        <v>389</v>
      </c>
    </row>
    <row r="19" spans="1:10" ht="25.5" customHeight="1">
      <c r="A19" s="11" t="s">
        <v>393</v>
      </c>
      <c r="B19" s="11" t="s">
        <v>20</v>
      </c>
      <c r="C19" s="12" t="s">
        <v>394</v>
      </c>
      <c r="D19" s="12" t="s">
        <v>341</v>
      </c>
      <c r="E19" s="13" t="s">
        <v>342</v>
      </c>
      <c r="F19" s="12" t="s">
        <v>395</v>
      </c>
      <c r="G19" s="12" t="s">
        <v>344</v>
      </c>
      <c r="H19" s="11" t="s">
        <v>380</v>
      </c>
      <c r="I19" s="14" t="s">
        <v>296</v>
      </c>
      <c r="J19" s="15"/>
    </row>
    <row r="20" spans="1:10" ht="25.5" customHeight="1">
      <c r="A20" s="11" t="s">
        <v>396</v>
      </c>
      <c r="B20" s="11" t="s">
        <v>20</v>
      </c>
      <c r="C20" s="12" t="s">
        <v>397</v>
      </c>
      <c r="D20" s="12" t="s">
        <v>347</v>
      </c>
      <c r="E20" s="13" t="s">
        <v>328</v>
      </c>
      <c r="F20" s="12" t="s">
        <v>392</v>
      </c>
      <c r="G20" s="12" t="s">
        <v>337</v>
      </c>
      <c r="H20" s="11" t="s">
        <v>380</v>
      </c>
      <c r="I20" s="14" t="s">
        <v>296</v>
      </c>
      <c r="J20" s="15" t="s">
        <v>389</v>
      </c>
    </row>
    <row r="21" spans="1:10" ht="25.5" customHeight="1">
      <c r="A21" s="11" t="s">
        <v>398</v>
      </c>
      <c r="B21" s="11" t="s">
        <v>20</v>
      </c>
      <c r="C21" s="12" t="s">
        <v>399</v>
      </c>
      <c r="D21" s="12" t="s">
        <v>383</v>
      </c>
      <c r="E21" s="13" t="s">
        <v>328</v>
      </c>
      <c r="F21" s="12" t="s">
        <v>400</v>
      </c>
      <c r="G21" s="12" t="s">
        <v>385</v>
      </c>
      <c r="H21" s="11" t="s">
        <v>380</v>
      </c>
      <c r="I21" s="14" t="s">
        <v>338</v>
      </c>
      <c r="J21" s="15"/>
    </row>
    <row r="22" spans="1:10" ht="25.5" customHeight="1">
      <c r="A22" s="11" t="s">
        <v>401</v>
      </c>
      <c r="B22" s="11" t="s">
        <v>20</v>
      </c>
      <c r="C22" s="12" t="s">
        <v>402</v>
      </c>
      <c r="D22" s="12" t="s">
        <v>383</v>
      </c>
      <c r="E22" s="13" t="s">
        <v>328</v>
      </c>
      <c r="F22" s="12" t="s">
        <v>403</v>
      </c>
      <c r="G22" s="12" t="s">
        <v>385</v>
      </c>
      <c r="H22" s="11" t="s">
        <v>380</v>
      </c>
      <c r="I22" s="14" t="s">
        <v>338</v>
      </c>
      <c r="J22" s="15" t="s">
        <v>404</v>
      </c>
    </row>
    <row r="23" spans="1:10" ht="25.5" customHeight="1">
      <c r="A23" s="11" t="s">
        <v>405</v>
      </c>
      <c r="B23" s="11" t="s">
        <v>20</v>
      </c>
      <c r="C23" s="12" t="s">
        <v>406</v>
      </c>
      <c r="D23" s="12" t="s">
        <v>341</v>
      </c>
      <c r="E23" s="13" t="s">
        <v>342</v>
      </c>
      <c r="F23" s="12" t="s">
        <v>343</v>
      </c>
      <c r="G23" s="12" t="s">
        <v>344</v>
      </c>
      <c r="H23" s="11" t="s">
        <v>380</v>
      </c>
      <c r="I23" s="14" t="s">
        <v>296</v>
      </c>
      <c r="J23" s="15"/>
    </row>
    <row r="24" spans="1:10" ht="25.5" customHeight="1">
      <c r="A24" s="11" t="s">
        <v>407</v>
      </c>
      <c r="B24" s="11" t="s">
        <v>20</v>
      </c>
      <c r="C24" s="12" t="s">
        <v>408</v>
      </c>
      <c r="D24" s="12" t="s">
        <v>347</v>
      </c>
      <c r="E24" s="13" t="s">
        <v>342</v>
      </c>
      <c r="F24" s="12" t="s">
        <v>348</v>
      </c>
      <c r="G24" s="12" t="s">
        <v>330</v>
      </c>
      <c r="H24" s="11" t="s">
        <v>380</v>
      </c>
      <c r="I24" s="14" t="s">
        <v>296</v>
      </c>
      <c r="J24" s="15"/>
    </row>
    <row r="25" spans="1:10" ht="25.5" customHeight="1">
      <c r="A25" s="11" t="s">
        <v>409</v>
      </c>
      <c r="B25" s="11" t="s">
        <v>20</v>
      </c>
      <c r="C25" s="12" t="s">
        <v>410</v>
      </c>
      <c r="D25" s="12" t="s">
        <v>341</v>
      </c>
      <c r="E25" s="13" t="s">
        <v>342</v>
      </c>
      <c r="F25" s="12" t="s">
        <v>343</v>
      </c>
      <c r="G25" s="12" t="s">
        <v>344</v>
      </c>
      <c r="H25" s="11" t="s">
        <v>380</v>
      </c>
      <c r="I25" s="14" t="s">
        <v>296</v>
      </c>
      <c r="J25" s="15"/>
    </row>
    <row r="26" spans="1:10" ht="25.5" customHeight="1">
      <c r="A26" s="11" t="s">
        <v>411</v>
      </c>
      <c r="B26" s="11" t="s">
        <v>20</v>
      </c>
      <c r="C26" s="12" t="s">
        <v>412</v>
      </c>
      <c r="D26" s="12" t="s">
        <v>364</v>
      </c>
      <c r="E26" s="13" t="s">
        <v>342</v>
      </c>
      <c r="F26" s="12" t="s">
        <v>365</v>
      </c>
      <c r="G26" s="12" t="s">
        <v>366</v>
      </c>
      <c r="H26" s="11" t="s">
        <v>413</v>
      </c>
      <c r="I26" s="14" t="s">
        <v>296</v>
      </c>
      <c r="J26" s="15" t="s">
        <v>389</v>
      </c>
    </row>
    <row r="27" spans="1:10" ht="25.5" customHeight="1">
      <c r="A27" s="11" t="s">
        <v>414</v>
      </c>
      <c r="B27" s="11" t="s">
        <v>24</v>
      </c>
      <c r="C27" s="12" t="s">
        <v>415</v>
      </c>
      <c r="D27" s="12" t="s">
        <v>347</v>
      </c>
      <c r="E27" s="13" t="s">
        <v>342</v>
      </c>
      <c r="F27" s="12" t="s">
        <v>416</v>
      </c>
      <c r="G27" s="12" t="s">
        <v>330</v>
      </c>
      <c r="H27" s="11" t="s">
        <v>417</v>
      </c>
      <c r="I27" s="14" t="s">
        <v>296</v>
      </c>
      <c r="J27" s="15"/>
    </row>
    <row r="28" spans="1:10" ht="25.5" customHeight="1">
      <c r="A28" s="11" t="s">
        <v>418</v>
      </c>
      <c r="B28" s="11" t="s">
        <v>24</v>
      </c>
      <c r="C28" s="12" t="s">
        <v>419</v>
      </c>
      <c r="D28" s="12" t="s">
        <v>341</v>
      </c>
      <c r="E28" s="13" t="s">
        <v>342</v>
      </c>
      <c r="F28" s="12" t="s">
        <v>344</v>
      </c>
      <c r="G28" s="12" t="s">
        <v>344</v>
      </c>
      <c r="H28" s="11" t="s">
        <v>417</v>
      </c>
      <c r="I28" s="14" t="s">
        <v>296</v>
      </c>
      <c r="J28" s="15"/>
    </row>
    <row r="29" spans="1:10" ht="25.5" customHeight="1">
      <c r="A29" s="11" t="s">
        <v>420</v>
      </c>
      <c r="B29" s="11" t="s">
        <v>24</v>
      </c>
      <c r="C29" s="12" t="s">
        <v>421</v>
      </c>
      <c r="D29" s="12" t="s">
        <v>341</v>
      </c>
      <c r="E29" s="13" t="s">
        <v>342</v>
      </c>
      <c r="F29" s="12" t="s">
        <v>422</v>
      </c>
      <c r="G29" s="12" t="s">
        <v>423</v>
      </c>
      <c r="H29" s="11" t="s">
        <v>417</v>
      </c>
      <c r="I29" s="14" t="s">
        <v>296</v>
      </c>
      <c r="J29" s="15"/>
    </row>
    <row r="30" spans="1:10" ht="25.5" customHeight="1">
      <c r="A30" s="11" t="s">
        <v>424</v>
      </c>
      <c r="B30" s="11" t="s">
        <v>24</v>
      </c>
      <c r="C30" s="12" t="s">
        <v>425</v>
      </c>
      <c r="D30" s="12" t="s">
        <v>383</v>
      </c>
      <c r="E30" s="13" t="s">
        <v>328</v>
      </c>
      <c r="F30" s="12" t="s">
        <v>400</v>
      </c>
      <c r="G30" s="12" t="s">
        <v>385</v>
      </c>
      <c r="H30" s="11" t="s">
        <v>417</v>
      </c>
      <c r="I30" s="14" t="s">
        <v>296</v>
      </c>
      <c r="J30" s="15"/>
    </row>
    <row r="31" spans="1:10" ht="25.5" customHeight="1">
      <c r="A31" s="11" t="s">
        <v>426</v>
      </c>
      <c r="B31" s="11" t="s">
        <v>24</v>
      </c>
      <c r="C31" s="12" t="s">
        <v>427</v>
      </c>
      <c r="D31" s="12" t="s">
        <v>364</v>
      </c>
      <c r="E31" s="13" t="s">
        <v>342</v>
      </c>
      <c r="F31" s="12" t="s">
        <v>365</v>
      </c>
      <c r="G31" s="12" t="s">
        <v>366</v>
      </c>
      <c r="H31" s="11" t="s">
        <v>417</v>
      </c>
      <c r="I31" s="14" t="s">
        <v>296</v>
      </c>
      <c r="J31" s="15"/>
    </row>
    <row r="32" spans="1:10" ht="25.5" customHeight="1">
      <c r="A32" s="11" t="s">
        <v>428</v>
      </c>
      <c r="B32" s="11" t="s">
        <v>24</v>
      </c>
      <c r="C32" s="12" t="s">
        <v>429</v>
      </c>
      <c r="D32" s="12" t="s">
        <v>347</v>
      </c>
      <c r="E32" s="13" t="s">
        <v>342</v>
      </c>
      <c r="F32" s="12" t="s">
        <v>430</v>
      </c>
      <c r="G32" s="12" t="s">
        <v>344</v>
      </c>
      <c r="H32" s="11" t="s">
        <v>417</v>
      </c>
      <c r="I32" s="14" t="s">
        <v>296</v>
      </c>
      <c r="J32" s="15"/>
    </row>
    <row r="33" spans="1:10" ht="25.5" customHeight="1">
      <c r="A33" s="11" t="s">
        <v>431</v>
      </c>
      <c r="B33" s="11" t="s">
        <v>24</v>
      </c>
      <c r="C33" s="12" t="s">
        <v>432</v>
      </c>
      <c r="D33" s="12" t="s">
        <v>341</v>
      </c>
      <c r="E33" s="13" t="s">
        <v>342</v>
      </c>
      <c r="F33" s="12" t="s">
        <v>343</v>
      </c>
      <c r="G33" s="12" t="s">
        <v>344</v>
      </c>
      <c r="H33" s="11" t="s">
        <v>417</v>
      </c>
      <c r="I33" s="14" t="s">
        <v>296</v>
      </c>
      <c r="J33" s="15"/>
    </row>
    <row r="34" spans="1:10" ht="25.5" customHeight="1">
      <c r="A34" s="11" t="s">
        <v>433</v>
      </c>
      <c r="B34" s="11" t="s">
        <v>24</v>
      </c>
      <c r="C34" s="12" t="s">
        <v>434</v>
      </c>
      <c r="D34" s="12" t="s">
        <v>341</v>
      </c>
      <c r="E34" s="13" t="s">
        <v>342</v>
      </c>
      <c r="F34" s="12" t="s">
        <v>435</v>
      </c>
      <c r="G34" s="12" t="s">
        <v>344</v>
      </c>
      <c r="H34" s="11" t="s">
        <v>417</v>
      </c>
      <c r="I34" s="14" t="s">
        <v>296</v>
      </c>
      <c r="J34" s="15"/>
    </row>
    <row r="35" spans="1:10" ht="25.5" customHeight="1">
      <c r="A35" s="11" t="s">
        <v>436</v>
      </c>
      <c r="B35" s="11" t="s">
        <v>24</v>
      </c>
      <c r="C35" s="12" t="s">
        <v>437</v>
      </c>
      <c r="D35" s="12" t="s">
        <v>341</v>
      </c>
      <c r="E35" s="13" t="s">
        <v>342</v>
      </c>
      <c r="F35" s="12" t="s">
        <v>343</v>
      </c>
      <c r="G35" s="12" t="s">
        <v>344</v>
      </c>
      <c r="H35" s="11" t="s">
        <v>417</v>
      </c>
      <c r="I35" s="14" t="s">
        <v>296</v>
      </c>
      <c r="J35" s="15"/>
    </row>
    <row r="36" spans="1:10" ht="25.5" customHeight="1">
      <c r="A36" s="11" t="s">
        <v>438</v>
      </c>
      <c r="B36" s="11" t="s">
        <v>24</v>
      </c>
      <c r="C36" s="12" t="s">
        <v>439</v>
      </c>
      <c r="D36" s="12" t="s">
        <v>383</v>
      </c>
      <c r="E36" s="13" t="s">
        <v>328</v>
      </c>
      <c r="F36" s="12" t="s">
        <v>440</v>
      </c>
      <c r="G36" s="12" t="s">
        <v>440</v>
      </c>
      <c r="H36" s="11" t="s">
        <v>417</v>
      </c>
      <c r="I36" s="14" t="s">
        <v>296</v>
      </c>
      <c r="J36" s="15"/>
    </row>
    <row r="37" spans="1:10" ht="25.5" customHeight="1">
      <c r="A37" s="11" t="s">
        <v>441</v>
      </c>
      <c r="B37" s="11" t="s">
        <v>28</v>
      </c>
      <c r="C37" s="12" t="s">
        <v>442</v>
      </c>
      <c r="D37" s="12" t="s">
        <v>383</v>
      </c>
      <c r="E37" s="13" t="s">
        <v>328</v>
      </c>
      <c r="F37" s="12" t="s">
        <v>443</v>
      </c>
      <c r="G37" s="12" t="s">
        <v>385</v>
      </c>
      <c r="H37" s="11" t="s">
        <v>444</v>
      </c>
      <c r="I37" s="14" t="s">
        <v>296</v>
      </c>
      <c r="J37" s="15"/>
    </row>
    <row r="38" spans="1:10" ht="25.5" customHeight="1">
      <c r="A38" s="11" t="s">
        <v>445</v>
      </c>
      <c r="B38" s="11" t="s">
        <v>28</v>
      </c>
      <c r="C38" s="12" t="s">
        <v>446</v>
      </c>
      <c r="D38" s="12" t="s">
        <v>335</v>
      </c>
      <c r="E38" s="13" t="s">
        <v>328</v>
      </c>
      <c r="F38" s="12" t="s">
        <v>388</v>
      </c>
      <c r="G38" s="12" t="s">
        <v>353</v>
      </c>
      <c r="H38" s="11" t="s">
        <v>444</v>
      </c>
      <c r="I38" s="14" t="s">
        <v>296</v>
      </c>
      <c r="J38" s="15"/>
    </row>
    <row r="39" spans="1:10" ht="25.5" customHeight="1">
      <c r="A39" s="11" t="s">
        <v>447</v>
      </c>
      <c r="B39" s="11" t="s">
        <v>28</v>
      </c>
      <c r="C39" s="12" t="s">
        <v>448</v>
      </c>
      <c r="D39" s="12" t="s">
        <v>347</v>
      </c>
      <c r="E39" s="13" t="s">
        <v>328</v>
      </c>
      <c r="F39" s="12" t="s">
        <v>449</v>
      </c>
      <c r="G39" s="12" t="s">
        <v>337</v>
      </c>
      <c r="H39" s="11" t="s">
        <v>444</v>
      </c>
      <c r="I39" s="14" t="s">
        <v>296</v>
      </c>
      <c r="J39" s="15"/>
    </row>
    <row r="40" spans="1:10" ht="25.5" customHeight="1">
      <c r="A40" s="11" t="s">
        <v>450</v>
      </c>
      <c r="B40" s="11" t="s">
        <v>28</v>
      </c>
      <c r="C40" s="12" t="s">
        <v>451</v>
      </c>
      <c r="D40" s="12" t="s">
        <v>347</v>
      </c>
      <c r="E40" s="13" t="s">
        <v>342</v>
      </c>
      <c r="F40" s="12" t="s">
        <v>452</v>
      </c>
      <c r="G40" s="12" t="s">
        <v>330</v>
      </c>
      <c r="H40" s="11" t="s">
        <v>444</v>
      </c>
      <c r="I40" s="14" t="s">
        <v>296</v>
      </c>
      <c r="J40" s="15"/>
    </row>
    <row r="41" spans="1:10" ht="25.5" customHeight="1">
      <c r="A41" s="11" t="s">
        <v>453</v>
      </c>
      <c r="B41" s="11" t="s">
        <v>28</v>
      </c>
      <c r="C41" s="12" t="s">
        <v>454</v>
      </c>
      <c r="D41" s="12" t="s">
        <v>383</v>
      </c>
      <c r="E41" s="13" t="s">
        <v>328</v>
      </c>
      <c r="F41" s="12" t="s">
        <v>455</v>
      </c>
      <c r="G41" s="12" t="s">
        <v>440</v>
      </c>
      <c r="H41" s="11" t="s">
        <v>444</v>
      </c>
      <c r="I41" s="14" t="s">
        <v>296</v>
      </c>
      <c r="J41" s="15"/>
    </row>
    <row r="42" spans="1:10" ht="25.5" customHeight="1">
      <c r="A42" s="11" t="s">
        <v>456</v>
      </c>
      <c r="B42" s="11" t="s">
        <v>28</v>
      </c>
      <c r="C42" s="12" t="s">
        <v>457</v>
      </c>
      <c r="D42" s="12" t="s">
        <v>347</v>
      </c>
      <c r="E42" s="13" t="s">
        <v>328</v>
      </c>
      <c r="F42" s="12" t="s">
        <v>458</v>
      </c>
      <c r="G42" s="12" t="s">
        <v>440</v>
      </c>
      <c r="H42" s="11" t="s">
        <v>444</v>
      </c>
      <c r="I42" s="14" t="s">
        <v>296</v>
      </c>
      <c r="J42" s="15"/>
    </row>
    <row r="43" spans="1:10" ht="25.5" customHeight="1">
      <c r="A43" s="11" t="s">
        <v>459</v>
      </c>
      <c r="B43" s="11" t="s">
        <v>28</v>
      </c>
      <c r="C43" s="12" t="s">
        <v>460</v>
      </c>
      <c r="D43" s="12" t="s">
        <v>383</v>
      </c>
      <c r="E43" s="13" t="s">
        <v>328</v>
      </c>
      <c r="F43" s="12" t="s">
        <v>440</v>
      </c>
      <c r="G43" s="12" t="s">
        <v>440</v>
      </c>
      <c r="H43" s="11" t="s">
        <v>444</v>
      </c>
      <c r="I43" s="14" t="s">
        <v>296</v>
      </c>
      <c r="J43" s="15"/>
    </row>
    <row r="44" spans="1:10" ht="25.5" customHeight="1">
      <c r="A44" s="11" t="s">
        <v>461</v>
      </c>
      <c r="B44" s="11" t="s">
        <v>28</v>
      </c>
      <c r="C44" s="12" t="s">
        <v>462</v>
      </c>
      <c r="D44" s="12" t="s">
        <v>357</v>
      </c>
      <c r="E44" s="13" t="s">
        <v>328</v>
      </c>
      <c r="F44" s="12" t="s">
        <v>440</v>
      </c>
      <c r="G44" s="12" t="s">
        <v>440</v>
      </c>
      <c r="H44" s="11" t="s">
        <v>444</v>
      </c>
      <c r="I44" s="14" t="s">
        <v>296</v>
      </c>
      <c r="J44" s="15"/>
    </row>
    <row r="45" spans="1:10" ht="25.5" customHeight="1">
      <c r="A45" s="11" t="s">
        <v>463</v>
      </c>
      <c r="B45" s="11" t="s">
        <v>28</v>
      </c>
      <c r="C45" s="12" t="s">
        <v>464</v>
      </c>
      <c r="D45" s="12" t="s">
        <v>364</v>
      </c>
      <c r="E45" s="13" t="s">
        <v>342</v>
      </c>
      <c r="F45" s="12" t="s">
        <v>365</v>
      </c>
      <c r="G45" s="12" t="s">
        <v>366</v>
      </c>
      <c r="H45" s="11" t="s">
        <v>444</v>
      </c>
      <c r="I45" s="14" t="s">
        <v>296</v>
      </c>
      <c r="J45" s="15"/>
    </row>
    <row r="46" spans="1:10" ht="25.5" customHeight="1">
      <c r="A46" s="11" t="s">
        <v>465</v>
      </c>
      <c r="B46" s="11" t="s">
        <v>28</v>
      </c>
      <c r="C46" s="12" t="s">
        <v>466</v>
      </c>
      <c r="D46" s="12" t="s">
        <v>347</v>
      </c>
      <c r="E46" s="13" t="s">
        <v>342</v>
      </c>
      <c r="F46" s="12" t="s">
        <v>467</v>
      </c>
      <c r="G46" s="12" t="s">
        <v>344</v>
      </c>
      <c r="H46" s="11" t="s">
        <v>444</v>
      </c>
      <c r="I46" s="14" t="s">
        <v>296</v>
      </c>
      <c r="J46" s="15"/>
    </row>
    <row r="47" spans="1:10" ht="25.5" customHeight="1">
      <c r="A47" s="11" t="s">
        <v>468</v>
      </c>
      <c r="B47" s="11" t="s">
        <v>28</v>
      </c>
      <c r="C47" s="12" t="s">
        <v>469</v>
      </c>
      <c r="D47" s="12" t="s">
        <v>383</v>
      </c>
      <c r="E47" s="13" t="s">
        <v>328</v>
      </c>
      <c r="F47" s="12" t="s">
        <v>440</v>
      </c>
      <c r="G47" s="12" t="s">
        <v>440</v>
      </c>
      <c r="H47" s="11" t="s">
        <v>444</v>
      </c>
      <c r="I47" s="14" t="s">
        <v>296</v>
      </c>
      <c r="J47" s="15"/>
    </row>
    <row r="48" spans="1:10" ht="25.5" customHeight="1">
      <c r="A48" s="11" t="s">
        <v>470</v>
      </c>
      <c r="B48" s="11" t="s">
        <v>28</v>
      </c>
      <c r="C48" s="12" t="s">
        <v>471</v>
      </c>
      <c r="D48" s="12" t="s">
        <v>347</v>
      </c>
      <c r="E48" s="13" t="s">
        <v>328</v>
      </c>
      <c r="F48" s="12" t="s">
        <v>472</v>
      </c>
      <c r="G48" s="12" t="s">
        <v>440</v>
      </c>
      <c r="H48" s="11" t="s">
        <v>444</v>
      </c>
      <c r="I48" s="14" t="s">
        <v>296</v>
      </c>
      <c r="J48" s="15"/>
    </row>
    <row r="49" spans="1:10" ht="25.5" customHeight="1">
      <c r="A49" s="11" t="s">
        <v>473</v>
      </c>
      <c r="B49" s="11" t="s">
        <v>28</v>
      </c>
      <c r="C49" s="12" t="s">
        <v>474</v>
      </c>
      <c r="D49" s="12" t="s">
        <v>383</v>
      </c>
      <c r="E49" s="13" t="s">
        <v>328</v>
      </c>
      <c r="F49" s="12" t="s">
        <v>475</v>
      </c>
      <c r="G49" s="12" t="s">
        <v>423</v>
      </c>
      <c r="H49" s="11" t="s">
        <v>444</v>
      </c>
      <c r="I49" s="14" t="s">
        <v>296</v>
      </c>
      <c r="J49" s="15"/>
    </row>
    <row r="50" spans="1:10" ht="25.5" customHeight="1">
      <c r="A50" s="11" t="s">
        <v>476</v>
      </c>
      <c r="B50" s="11" t="s">
        <v>28</v>
      </c>
      <c r="C50" s="12" t="s">
        <v>477</v>
      </c>
      <c r="D50" s="12" t="s">
        <v>383</v>
      </c>
      <c r="E50" s="13" t="s">
        <v>328</v>
      </c>
      <c r="F50" s="12" t="s">
        <v>478</v>
      </c>
      <c r="G50" s="12" t="s">
        <v>385</v>
      </c>
      <c r="H50" s="11" t="s">
        <v>444</v>
      </c>
      <c r="I50" s="14" t="s">
        <v>296</v>
      </c>
      <c r="J50" s="15"/>
    </row>
    <row r="51" spans="1:10" ht="25.5" customHeight="1">
      <c r="A51" s="11" t="s">
        <v>479</v>
      </c>
      <c r="B51" s="11" t="s">
        <v>28</v>
      </c>
      <c r="C51" s="12" t="s">
        <v>480</v>
      </c>
      <c r="D51" s="12" t="s">
        <v>347</v>
      </c>
      <c r="E51" s="13" t="s">
        <v>342</v>
      </c>
      <c r="F51" s="12" t="s">
        <v>329</v>
      </c>
      <c r="G51" s="12" t="s">
        <v>330</v>
      </c>
      <c r="H51" s="11" t="s">
        <v>444</v>
      </c>
      <c r="I51" s="14" t="s">
        <v>296</v>
      </c>
      <c r="J51" s="15"/>
    </row>
    <row r="52" spans="1:10" ht="25.5" customHeight="1">
      <c r="A52" s="11" t="s">
        <v>481</v>
      </c>
      <c r="B52" s="11" t="s">
        <v>31</v>
      </c>
      <c r="C52" s="12" t="s">
        <v>482</v>
      </c>
      <c r="D52" s="12" t="s">
        <v>383</v>
      </c>
      <c r="E52" s="13" t="s">
        <v>328</v>
      </c>
      <c r="F52" s="12" t="s">
        <v>483</v>
      </c>
      <c r="G52" s="12" t="s">
        <v>353</v>
      </c>
      <c r="H52" s="11" t="s">
        <v>484</v>
      </c>
      <c r="I52" s="14" t="s">
        <v>338</v>
      </c>
      <c r="J52" s="15"/>
    </row>
    <row r="53" spans="1:10" ht="25.5" customHeight="1">
      <c r="A53" s="11" t="s">
        <v>485</v>
      </c>
      <c r="B53" s="11" t="s">
        <v>31</v>
      </c>
      <c r="C53" s="12" t="s">
        <v>486</v>
      </c>
      <c r="D53" s="12" t="s">
        <v>383</v>
      </c>
      <c r="E53" s="13" t="s">
        <v>328</v>
      </c>
      <c r="F53" s="12" t="s">
        <v>487</v>
      </c>
      <c r="G53" s="12" t="s">
        <v>353</v>
      </c>
      <c r="H53" s="11" t="s">
        <v>484</v>
      </c>
      <c r="I53" s="14" t="s">
        <v>296</v>
      </c>
      <c r="J53" s="15"/>
    </row>
    <row r="54" spans="1:10" ht="25.5" customHeight="1">
      <c r="A54" s="11" t="s">
        <v>488</v>
      </c>
      <c r="B54" s="11" t="s">
        <v>31</v>
      </c>
      <c r="C54" s="12" t="s">
        <v>489</v>
      </c>
      <c r="D54" s="12" t="s">
        <v>335</v>
      </c>
      <c r="E54" s="13" t="s">
        <v>328</v>
      </c>
      <c r="F54" s="12" t="s">
        <v>490</v>
      </c>
      <c r="G54" s="12" t="s">
        <v>353</v>
      </c>
      <c r="H54" s="11" t="s">
        <v>484</v>
      </c>
      <c r="I54" s="14" t="s">
        <v>296</v>
      </c>
      <c r="J54" s="15"/>
    </row>
    <row r="55" spans="1:10" ht="25.5" customHeight="1">
      <c r="A55" s="11" t="s">
        <v>491</v>
      </c>
      <c r="B55" s="11" t="s">
        <v>31</v>
      </c>
      <c r="C55" s="12" t="s">
        <v>492</v>
      </c>
      <c r="D55" s="12" t="s">
        <v>341</v>
      </c>
      <c r="E55" s="13" t="s">
        <v>342</v>
      </c>
      <c r="F55" s="12" t="s">
        <v>493</v>
      </c>
      <c r="G55" s="12" t="s">
        <v>330</v>
      </c>
      <c r="H55" s="11" t="s">
        <v>484</v>
      </c>
      <c r="I55" s="14" t="s">
        <v>296</v>
      </c>
      <c r="J55" s="15"/>
    </row>
    <row r="56" spans="1:10" ht="25.5" customHeight="1">
      <c r="A56" s="11" t="s">
        <v>494</v>
      </c>
      <c r="B56" s="11" t="s">
        <v>31</v>
      </c>
      <c r="C56" s="12" t="s">
        <v>495</v>
      </c>
      <c r="D56" s="12" t="s">
        <v>341</v>
      </c>
      <c r="E56" s="13" t="s">
        <v>342</v>
      </c>
      <c r="F56" s="12" t="s">
        <v>343</v>
      </c>
      <c r="G56" s="12" t="s">
        <v>344</v>
      </c>
      <c r="H56" s="11" t="s">
        <v>484</v>
      </c>
      <c r="I56" s="14" t="s">
        <v>296</v>
      </c>
      <c r="J56" s="15"/>
    </row>
    <row r="57" spans="1:10" ht="25.5" customHeight="1">
      <c r="A57" s="11" t="s">
        <v>496</v>
      </c>
      <c r="B57" s="11" t="s">
        <v>31</v>
      </c>
      <c r="C57" s="12" t="s">
        <v>497</v>
      </c>
      <c r="D57" s="12" t="s">
        <v>341</v>
      </c>
      <c r="E57" s="13" t="s">
        <v>342</v>
      </c>
      <c r="F57" s="12" t="s">
        <v>343</v>
      </c>
      <c r="G57" s="12" t="s">
        <v>344</v>
      </c>
      <c r="H57" s="11" t="s">
        <v>484</v>
      </c>
      <c r="I57" s="14" t="s">
        <v>296</v>
      </c>
      <c r="J57" s="15"/>
    </row>
    <row r="58" spans="1:10" ht="25.5" customHeight="1">
      <c r="A58" s="11" t="s">
        <v>498</v>
      </c>
      <c r="B58" s="11" t="s">
        <v>31</v>
      </c>
      <c r="C58" s="12" t="s">
        <v>499</v>
      </c>
      <c r="D58" s="12" t="s">
        <v>341</v>
      </c>
      <c r="E58" s="13" t="s">
        <v>342</v>
      </c>
      <c r="F58" s="12" t="s">
        <v>500</v>
      </c>
      <c r="G58" s="12" t="s">
        <v>385</v>
      </c>
      <c r="H58" s="11" t="s">
        <v>484</v>
      </c>
      <c r="I58" s="14" t="s">
        <v>296</v>
      </c>
      <c r="J58" s="15"/>
    </row>
    <row r="59" spans="1:10" ht="25.5" customHeight="1">
      <c r="A59" s="11" t="s">
        <v>501</v>
      </c>
      <c r="B59" s="11" t="s">
        <v>31</v>
      </c>
      <c r="C59" s="12" t="s">
        <v>502</v>
      </c>
      <c r="D59" s="12" t="s">
        <v>347</v>
      </c>
      <c r="E59" s="13" t="s">
        <v>328</v>
      </c>
      <c r="F59" s="12" t="s">
        <v>503</v>
      </c>
      <c r="G59" s="12" t="s">
        <v>337</v>
      </c>
      <c r="H59" s="11" t="s">
        <v>484</v>
      </c>
      <c r="I59" s="14" t="s">
        <v>296</v>
      </c>
      <c r="J59" s="15"/>
    </row>
    <row r="60" spans="1:10" ht="25.5" customHeight="1">
      <c r="A60" s="11" t="s">
        <v>504</v>
      </c>
      <c r="B60" s="11" t="s">
        <v>31</v>
      </c>
      <c r="C60" s="12" t="s">
        <v>505</v>
      </c>
      <c r="D60" s="12" t="s">
        <v>347</v>
      </c>
      <c r="E60" s="13" t="s">
        <v>342</v>
      </c>
      <c r="F60" s="12" t="s">
        <v>329</v>
      </c>
      <c r="G60" s="12" t="s">
        <v>330</v>
      </c>
      <c r="H60" s="11" t="s">
        <v>484</v>
      </c>
      <c r="I60" s="14" t="s">
        <v>296</v>
      </c>
      <c r="J60" s="15"/>
    </row>
    <row r="61" spans="1:10" ht="25.5" customHeight="1">
      <c r="A61" s="11" t="s">
        <v>506</v>
      </c>
      <c r="B61" s="11" t="s">
        <v>31</v>
      </c>
      <c r="C61" s="12" t="s">
        <v>507</v>
      </c>
      <c r="D61" s="12" t="s">
        <v>335</v>
      </c>
      <c r="E61" s="13" t="s">
        <v>328</v>
      </c>
      <c r="F61" s="12" t="s">
        <v>336</v>
      </c>
      <c r="G61" s="12" t="s">
        <v>337</v>
      </c>
      <c r="H61" s="11" t="s">
        <v>484</v>
      </c>
      <c r="I61" s="14" t="s">
        <v>338</v>
      </c>
      <c r="J61" s="15"/>
    </row>
    <row r="62" spans="1:10" ht="25.5" customHeight="1">
      <c r="A62" s="11" t="s">
        <v>508</v>
      </c>
      <c r="B62" s="11" t="s">
        <v>31</v>
      </c>
      <c r="C62" s="12" t="s">
        <v>509</v>
      </c>
      <c r="D62" s="12" t="s">
        <v>341</v>
      </c>
      <c r="E62" s="13" t="s">
        <v>342</v>
      </c>
      <c r="F62" s="12" t="s">
        <v>329</v>
      </c>
      <c r="G62" s="12" t="s">
        <v>330</v>
      </c>
      <c r="H62" s="11" t="s">
        <v>484</v>
      </c>
      <c r="I62" s="14" t="s">
        <v>296</v>
      </c>
      <c r="J62" s="15"/>
    </row>
    <row r="63" spans="1:10" ht="25.5" customHeight="1">
      <c r="A63" s="11" t="s">
        <v>510</v>
      </c>
      <c r="B63" s="11" t="s">
        <v>31</v>
      </c>
      <c r="C63" s="12" t="s">
        <v>511</v>
      </c>
      <c r="D63" s="12" t="s">
        <v>347</v>
      </c>
      <c r="E63" s="13" t="s">
        <v>342</v>
      </c>
      <c r="F63" s="12" t="s">
        <v>512</v>
      </c>
      <c r="G63" s="12" t="s">
        <v>344</v>
      </c>
      <c r="H63" s="11" t="s">
        <v>484</v>
      </c>
      <c r="I63" s="14" t="s">
        <v>296</v>
      </c>
      <c r="J63" s="15"/>
    </row>
    <row r="64" spans="1:10" ht="25.5" customHeight="1">
      <c r="A64" s="11" t="s">
        <v>513</v>
      </c>
      <c r="B64" s="11" t="s">
        <v>35</v>
      </c>
      <c r="C64" s="12" t="s">
        <v>514</v>
      </c>
      <c r="D64" s="12" t="s">
        <v>347</v>
      </c>
      <c r="E64" s="13" t="s">
        <v>342</v>
      </c>
      <c r="F64" s="12" t="s">
        <v>329</v>
      </c>
      <c r="G64" s="12" t="s">
        <v>330</v>
      </c>
      <c r="H64" s="11" t="s">
        <v>515</v>
      </c>
      <c r="I64" s="14" t="s">
        <v>296</v>
      </c>
      <c r="J64" s="15"/>
    </row>
    <row r="65" spans="1:10" ht="25.5" customHeight="1">
      <c r="A65" s="11" t="s">
        <v>516</v>
      </c>
      <c r="B65" s="11" t="s">
        <v>35</v>
      </c>
      <c r="C65" s="12" t="s">
        <v>517</v>
      </c>
      <c r="D65" s="12" t="s">
        <v>357</v>
      </c>
      <c r="E65" s="13" t="s">
        <v>342</v>
      </c>
      <c r="F65" s="12" t="s">
        <v>518</v>
      </c>
      <c r="G65" s="12" t="s">
        <v>353</v>
      </c>
      <c r="H65" s="11" t="s">
        <v>515</v>
      </c>
      <c r="I65" s="14" t="s">
        <v>296</v>
      </c>
      <c r="J65" s="15"/>
    </row>
    <row r="66" spans="1:10" ht="25.5" customHeight="1">
      <c r="A66" s="11" t="s">
        <v>519</v>
      </c>
      <c r="B66" s="11" t="s">
        <v>35</v>
      </c>
      <c r="C66" s="12" t="s">
        <v>520</v>
      </c>
      <c r="D66" s="12" t="s">
        <v>357</v>
      </c>
      <c r="E66" s="13" t="s">
        <v>328</v>
      </c>
      <c r="F66" s="12" t="s">
        <v>358</v>
      </c>
      <c r="G66" s="12" t="s">
        <v>353</v>
      </c>
      <c r="H66" s="11" t="s">
        <v>515</v>
      </c>
      <c r="I66" s="14" t="s">
        <v>296</v>
      </c>
      <c r="J66" s="15"/>
    </row>
    <row r="67" spans="1:10" ht="25.5" customHeight="1">
      <c r="A67" s="11" t="s">
        <v>521</v>
      </c>
      <c r="B67" s="11" t="s">
        <v>35</v>
      </c>
      <c r="C67" s="12" t="s">
        <v>522</v>
      </c>
      <c r="D67" s="12" t="s">
        <v>523</v>
      </c>
      <c r="E67" s="13" t="s">
        <v>342</v>
      </c>
      <c r="F67" s="12" t="s">
        <v>524</v>
      </c>
      <c r="G67" s="12" t="s">
        <v>353</v>
      </c>
      <c r="H67" s="11" t="s">
        <v>515</v>
      </c>
      <c r="I67" s="14" t="s">
        <v>296</v>
      </c>
      <c r="J67" s="15"/>
    </row>
    <row r="68" spans="1:10" ht="25.5" customHeight="1">
      <c r="A68" s="11" t="s">
        <v>525</v>
      </c>
      <c r="B68" s="11" t="s">
        <v>35</v>
      </c>
      <c r="C68" s="12" t="s">
        <v>526</v>
      </c>
      <c r="D68" s="12" t="s">
        <v>335</v>
      </c>
      <c r="E68" s="13" t="s">
        <v>328</v>
      </c>
      <c r="F68" s="12" t="s">
        <v>377</v>
      </c>
      <c r="G68" s="12" t="s">
        <v>353</v>
      </c>
      <c r="H68" s="11" t="s">
        <v>515</v>
      </c>
      <c r="I68" s="14" t="s">
        <v>296</v>
      </c>
      <c r="J68" s="15"/>
    </row>
    <row r="69" spans="1:10" ht="25.5" customHeight="1">
      <c r="A69" s="11" t="s">
        <v>527</v>
      </c>
      <c r="B69" s="11" t="s">
        <v>35</v>
      </c>
      <c r="C69" s="12" t="s">
        <v>528</v>
      </c>
      <c r="D69" s="12" t="s">
        <v>347</v>
      </c>
      <c r="E69" s="13" t="s">
        <v>328</v>
      </c>
      <c r="F69" s="12" t="s">
        <v>529</v>
      </c>
      <c r="G69" s="12" t="s">
        <v>353</v>
      </c>
      <c r="H69" s="11" t="s">
        <v>515</v>
      </c>
      <c r="I69" s="14" t="s">
        <v>296</v>
      </c>
      <c r="J69" s="15"/>
    </row>
    <row r="70" spans="1:10" ht="25.5" customHeight="1">
      <c r="A70" s="11" t="s">
        <v>530</v>
      </c>
      <c r="B70" s="11" t="s">
        <v>35</v>
      </c>
      <c r="C70" s="12" t="s">
        <v>531</v>
      </c>
      <c r="D70" s="12" t="s">
        <v>357</v>
      </c>
      <c r="E70" s="13" t="s">
        <v>342</v>
      </c>
      <c r="F70" s="12" t="s">
        <v>532</v>
      </c>
      <c r="G70" s="12" t="s">
        <v>353</v>
      </c>
      <c r="H70" s="11" t="s">
        <v>515</v>
      </c>
      <c r="I70" s="14" t="s">
        <v>296</v>
      </c>
      <c r="J70" s="15"/>
    </row>
    <row r="71" spans="1:10" ht="25.5" customHeight="1">
      <c r="A71" s="11" t="s">
        <v>533</v>
      </c>
      <c r="B71" s="11" t="s">
        <v>35</v>
      </c>
      <c r="C71" s="12" t="s">
        <v>534</v>
      </c>
      <c r="D71" s="12" t="s">
        <v>523</v>
      </c>
      <c r="E71" s="13" t="s">
        <v>342</v>
      </c>
      <c r="F71" s="12" t="s">
        <v>329</v>
      </c>
      <c r="G71" s="12" t="s">
        <v>330</v>
      </c>
      <c r="H71" s="11" t="s">
        <v>515</v>
      </c>
      <c r="I71" s="14" t="s">
        <v>296</v>
      </c>
      <c r="J71" s="15"/>
    </row>
    <row r="72" spans="1:10" ht="25.5" customHeight="1">
      <c r="A72" s="11" t="s">
        <v>535</v>
      </c>
      <c r="B72" s="11" t="s">
        <v>35</v>
      </c>
      <c r="C72" s="12" t="s">
        <v>536</v>
      </c>
      <c r="D72" s="12" t="s">
        <v>383</v>
      </c>
      <c r="E72" s="13" t="s">
        <v>328</v>
      </c>
      <c r="F72" s="12" t="s">
        <v>537</v>
      </c>
      <c r="G72" s="12" t="s">
        <v>385</v>
      </c>
      <c r="H72" s="11" t="s">
        <v>515</v>
      </c>
      <c r="I72" s="14" t="s">
        <v>296</v>
      </c>
      <c r="J72" s="15"/>
    </row>
    <row r="73" spans="1:10" ht="25.5" customHeight="1">
      <c r="A73" s="11" t="s">
        <v>538</v>
      </c>
      <c r="B73" s="11" t="s">
        <v>35</v>
      </c>
      <c r="C73" s="12" t="s">
        <v>539</v>
      </c>
      <c r="D73" s="12" t="s">
        <v>347</v>
      </c>
      <c r="E73" s="13" t="s">
        <v>342</v>
      </c>
      <c r="F73" s="12" t="s">
        <v>540</v>
      </c>
      <c r="G73" s="12" t="s">
        <v>353</v>
      </c>
      <c r="H73" s="11" t="s">
        <v>515</v>
      </c>
      <c r="I73" s="14" t="s">
        <v>296</v>
      </c>
      <c r="J73" s="15"/>
    </row>
    <row r="74" spans="1:10" ht="25.5" customHeight="1">
      <c r="A74" s="11" t="s">
        <v>541</v>
      </c>
      <c r="B74" s="11" t="s">
        <v>35</v>
      </c>
      <c r="C74" s="12" t="s">
        <v>542</v>
      </c>
      <c r="D74" s="12" t="s">
        <v>347</v>
      </c>
      <c r="E74" s="13" t="s">
        <v>342</v>
      </c>
      <c r="F74" s="12" t="s">
        <v>543</v>
      </c>
      <c r="G74" s="12" t="s">
        <v>353</v>
      </c>
      <c r="H74" s="11" t="s">
        <v>515</v>
      </c>
      <c r="I74" s="14" t="s">
        <v>296</v>
      </c>
      <c r="J74" s="15"/>
    </row>
    <row r="75" spans="1:10" ht="25.5" customHeight="1">
      <c r="A75" s="11" t="s">
        <v>544</v>
      </c>
      <c r="B75" s="11" t="s">
        <v>35</v>
      </c>
      <c r="C75" s="12" t="s">
        <v>545</v>
      </c>
      <c r="D75" s="12" t="s">
        <v>523</v>
      </c>
      <c r="E75" s="13" t="s">
        <v>342</v>
      </c>
      <c r="F75" s="12" t="s">
        <v>546</v>
      </c>
      <c r="G75" s="12" t="s">
        <v>330</v>
      </c>
      <c r="H75" s="11" t="s">
        <v>515</v>
      </c>
      <c r="I75" s="14" t="s">
        <v>296</v>
      </c>
      <c r="J75" s="15"/>
    </row>
    <row r="76" spans="1:10" ht="25.5" customHeight="1">
      <c r="A76" s="11" t="s">
        <v>547</v>
      </c>
      <c r="B76" s="11" t="s">
        <v>35</v>
      </c>
      <c r="C76" s="12" t="s">
        <v>548</v>
      </c>
      <c r="D76" s="12" t="s">
        <v>523</v>
      </c>
      <c r="E76" s="13" t="s">
        <v>342</v>
      </c>
      <c r="F76" s="12" t="s">
        <v>549</v>
      </c>
      <c r="G76" s="12" t="s">
        <v>366</v>
      </c>
      <c r="H76" s="11" t="s">
        <v>515</v>
      </c>
      <c r="I76" s="14" t="s">
        <v>296</v>
      </c>
      <c r="J76" s="15"/>
    </row>
  </sheetData>
  <autoFilter ref="A2:J76" xr:uid="{00000000-0009-0000-0000-000008000000}"/>
  <mergeCells count="1">
    <mergeCell ref="A1:J1"/>
  </mergeCells>
  <conditionalFormatting sqref="I3:I76">
    <cfRule type="cellIs" dxfId="11" priority="2" operator="equal">
      <formula>"Available"</formula>
    </cfRule>
    <cfRule type="cellIs" dxfId="10" priority="3" operator="equal">
      <formula>"Closed"</formula>
    </cfRule>
    <cfRule type="cellIs" dxfId="9" priority="4" operator="equal">
      <formula>"Requested"</formula>
    </cfRule>
    <cfRule type="cellIs" dxfId="8" priority="5" operator="equal">
      <formula>"In Progress"</formula>
    </cfRule>
    <cfRule type="cellIs" dxfId="7" priority="6" operator="equal">
      <formula>"At Risk"</formula>
    </cfRule>
    <cfRule type="cellIs" dxfId="6" priority="7" operator="equal">
      <formula>"Blocked"</formula>
    </cfRule>
  </conditionalFormatting>
  <dataValidations count="2">
    <dataValidation type="list" allowBlank="1" sqref="I3:I76" xr:uid="{00000000-0002-0000-0800-000000000000}">
      <formula1>DepStatus</formula1>
      <formula2>0</formula2>
    </dataValidation>
    <dataValidation type="list" allowBlank="1" sqref="E3:E76" xr:uid="{00000000-0002-0000-0800-000001000000}">
      <formula1>DepType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B4233-4FD9-438A-8E19-42AA4AB5DB8A}">
  <dimension ref="B2:B12"/>
  <sheetViews>
    <sheetView workbookViewId="0">
      <selection activeCell="B2" sqref="B2"/>
    </sheetView>
  </sheetViews>
  <sheetFormatPr defaultRowHeight="15"/>
  <cols>
    <col min="2" max="2" width="20.5703125" customWidth="1"/>
  </cols>
  <sheetData>
    <row r="2" spans="2:2">
      <c r="B2" s="16" t="s">
        <v>550</v>
      </c>
    </row>
    <row r="3" spans="2:2">
      <c r="B3" t="s">
        <v>551</v>
      </c>
    </row>
    <row r="4" spans="2:2">
      <c r="B4" t="s">
        <v>552</v>
      </c>
    </row>
    <row r="5" spans="2:2">
      <c r="B5" t="s">
        <v>553</v>
      </c>
    </row>
    <row r="6" spans="2:2">
      <c r="B6" t="s">
        <v>554</v>
      </c>
    </row>
    <row r="7" spans="2:2">
      <c r="B7" s="16" t="s">
        <v>555</v>
      </c>
    </row>
    <row r="8" spans="2:2">
      <c r="B8" t="s">
        <v>551</v>
      </c>
    </row>
    <row r="9" spans="2:2">
      <c r="B9" t="s">
        <v>552</v>
      </c>
    </row>
    <row r="10" spans="2:2">
      <c r="B10" t="s">
        <v>556</v>
      </c>
    </row>
    <row r="11" spans="2:2">
      <c r="B11" s="16" t="s">
        <v>557</v>
      </c>
    </row>
    <row r="12" spans="2:2">
      <c r="B12" t="s">
        <v>556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88"/>
  <sheetViews>
    <sheetView topLeftCell="A6" zoomScaleNormal="100" workbookViewId="0">
      <selection activeCell="E17" sqref="E17"/>
    </sheetView>
  </sheetViews>
  <sheetFormatPr defaultColWidth="8.7109375" defaultRowHeight="15"/>
  <cols>
    <col min="1" max="1" width="30" customWidth="1"/>
    <col min="2" max="2" width="20" customWidth="1"/>
    <col min="3" max="3" width="14" customWidth="1"/>
    <col min="4" max="4" width="20" customWidth="1"/>
    <col min="5" max="5" width="52" customWidth="1"/>
    <col min="6" max="6" width="18" customWidth="1"/>
    <col min="7" max="7" width="26" customWidth="1"/>
    <col min="8" max="8" width="16" customWidth="1"/>
    <col min="9" max="9" width="14" customWidth="1"/>
  </cols>
  <sheetData>
    <row r="1" spans="1:9" ht="24" customHeight="1">
      <c r="A1" s="17" t="s">
        <v>558</v>
      </c>
      <c r="B1" s="17"/>
      <c r="C1" s="17"/>
      <c r="D1" s="17"/>
      <c r="E1" s="17"/>
      <c r="F1" s="17"/>
      <c r="G1" s="17"/>
      <c r="H1" s="17"/>
      <c r="I1" s="17"/>
    </row>
    <row r="2" spans="1:9" ht="30" customHeight="1">
      <c r="A2" s="1" t="s">
        <v>322</v>
      </c>
      <c r="B2" s="1" t="s">
        <v>335</v>
      </c>
      <c r="C2" s="1" t="s">
        <v>357</v>
      </c>
      <c r="D2" s="1" t="s">
        <v>341</v>
      </c>
      <c r="E2" s="1" t="s">
        <v>347</v>
      </c>
      <c r="F2" s="1" t="s">
        <v>383</v>
      </c>
      <c r="G2" s="1" t="s">
        <v>364</v>
      </c>
      <c r="H2" s="1" t="s">
        <v>523</v>
      </c>
      <c r="I2" s="1" t="s">
        <v>559</v>
      </c>
    </row>
    <row r="3" spans="1:9" ht="25.5" customHeight="1">
      <c r="A3" s="12" t="s">
        <v>353</v>
      </c>
      <c r="B3" s="11">
        <f>COUNTIFS(Dependencies!$G$3:$G$76,$A3,Dependencies!$D$3:$D$76,B$2)</f>
        <v>3</v>
      </c>
      <c r="C3" s="11">
        <f>COUNTIFS(Dependencies!$G$3:$G$76,$A3,Dependencies!$D$3:$D$76,C$2)</f>
        <v>5</v>
      </c>
      <c r="D3" s="11">
        <f>COUNTIFS(Dependencies!$G$3:$G$76,$A3,Dependencies!$D$3:$D$76,D$2)</f>
        <v>0</v>
      </c>
      <c r="E3" s="11">
        <f>COUNTIFS(Dependencies!$G$3:$G$76,$A3,Dependencies!$D$3:$D$76,E$2)</f>
        <v>3</v>
      </c>
      <c r="F3" s="11">
        <f>COUNTIFS(Dependencies!$G$3:$G$76,$A3,Dependencies!$D$3:$D$76,F$2)</f>
        <v>2</v>
      </c>
      <c r="G3" s="11">
        <f>COUNTIFS(Dependencies!$G$3:$G$76,$A3,Dependencies!$D$3:$D$76,G$2)</f>
        <v>0</v>
      </c>
      <c r="H3" s="11">
        <f>COUNTIFS(Dependencies!$G$3:$G$76,$A3,Dependencies!$D$3:$D$76,H$2)</f>
        <v>1</v>
      </c>
      <c r="I3" s="11">
        <f>SUM(B3:H3)</f>
        <v>14</v>
      </c>
    </row>
    <row r="4" spans="1:9" ht="25.5" customHeight="1">
      <c r="A4" s="12" t="s">
        <v>337</v>
      </c>
      <c r="B4" s="11">
        <f>COUNTIFS(Dependencies!$G$3:$G$76,$A4,Dependencies!$D$3:$D$76,B$2)</f>
        <v>4</v>
      </c>
      <c r="C4" s="11">
        <f>COUNTIFS(Dependencies!$G$3:$G$76,$A4,Dependencies!$D$3:$D$76,C$2)</f>
        <v>0</v>
      </c>
      <c r="D4" s="11">
        <f>COUNTIFS(Dependencies!$G$3:$G$76,$A4,Dependencies!$D$3:$D$76,D$2)</f>
        <v>0</v>
      </c>
      <c r="E4" s="11">
        <f>COUNTIFS(Dependencies!$G$3:$G$76,$A4,Dependencies!$D$3:$D$76,E$2)</f>
        <v>3</v>
      </c>
      <c r="F4" s="11">
        <f>COUNTIFS(Dependencies!$G$3:$G$76,$A4,Dependencies!$D$3:$D$76,F$2)</f>
        <v>0</v>
      </c>
      <c r="G4" s="11">
        <f>COUNTIFS(Dependencies!$G$3:$G$76,$A4,Dependencies!$D$3:$D$76,G$2)</f>
        <v>0</v>
      </c>
      <c r="H4" s="11">
        <f>COUNTIFS(Dependencies!$G$3:$G$76,$A4,Dependencies!$D$3:$D$76,H$2)</f>
        <v>0</v>
      </c>
      <c r="I4" s="11">
        <f>SUM(B4:H4)</f>
        <v>7</v>
      </c>
    </row>
    <row r="5" spans="1:9" ht="25.5" customHeight="1">
      <c r="A5" s="12" t="s">
        <v>344</v>
      </c>
      <c r="B5" s="11">
        <f>COUNTIFS(Dependencies!$G$3:$G$76,$A5,Dependencies!$D$3:$D$76,B$2)</f>
        <v>0</v>
      </c>
      <c r="C5" s="11">
        <f>COUNTIFS(Dependencies!$G$3:$G$76,$A5,Dependencies!$D$3:$D$76,C$2)</f>
        <v>0</v>
      </c>
      <c r="D5" s="11">
        <f>COUNTIFS(Dependencies!$G$3:$G$76,$A5,Dependencies!$D$3:$D$76,D$2)</f>
        <v>12</v>
      </c>
      <c r="E5" s="11">
        <f>COUNTIFS(Dependencies!$G$3:$G$76,$A5,Dependencies!$D$3:$D$76,E$2)</f>
        <v>3</v>
      </c>
      <c r="F5" s="11">
        <f>COUNTIFS(Dependencies!$G$3:$G$76,$A5,Dependencies!$D$3:$D$76,F$2)</f>
        <v>0</v>
      </c>
      <c r="G5" s="11">
        <f>COUNTIFS(Dependencies!$G$3:$G$76,$A5,Dependencies!$D$3:$D$76,G$2)</f>
        <v>0</v>
      </c>
      <c r="H5" s="11">
        <f>COUNTIFS(Dependencies!$G$3:$G$76,$A5,Dependencies!$D$3:$D$76,H$2)</f>
        <v>0</v>
      </c>
      <c r="I5" s="11">
        <f>SUM(B5:H5)</f>
        <v>15</v>
      </c>
    </row>
    <row r="6" spans="1:9" ht="25.5" customHeight="1">
      <c r="A6" s="12" t="s">
        <v>330</v>
      </c>
      <c r="B6" s="11">
        <f>COUNTIFS(Dependencies!$G$3:$G$76,$A6,Dependencies!$D$3:$D$76,B$2)</f>
        <v>0</v>
      </c>
      <c r="C6" s="11">
        <f>COUNTIFS(Dependencies!$G$3:$G$76,$A6,Dependencies!$D$3:$D$76,C$2)</f>
        <v>0</v>
      </c>
      <c r="D6" s="11">
        <f>COUNTIFS(Dependencies!$G$3:$G$76,$A6,Dependencies!$D$3:$D$76,D$2)</f>
        <v>2</v>
      </c>
      <c r="E6" s="11">
        <f>COUNTIFS(Dependencies!$G$3:$G$76,$A6,Dependencies!$D$3:$D$76,E$2)</f>
        <v>9</v>
      </c>
      <c r="F6" s="11">
        <f>COUNTIFS(Dependencies!$G$3:$G$76,$A6,Dependencies!$D$3:$D$76,F$2)</f>
        <v>0</v>
      </c>
      <c r="G6" s="11">
        <f>COUNTIFS(Dependencies!$G$3:$G$76,$A6,Dependencies!$D$3:$D$76,G$2)</f>
        <v>0</v>
      </c>
      <c r="H6" s="11">
        <f>COUNTIFS(Dependencies!$G$3:$G$76,$A6,Dependencies!$D$3:$D$76,H$2)</f>
        <v>2</v>
      </c>
      <c r="I6" s="11">
        <f>SUM(B6:H6)</f>
        <v>13</v>
      </c>
    </row>
    <row r="7" spans="1:9" ht="25.5" customHeight="1">
      <c r="A7" s="12" t="s">
        <v>440</v>
      </c>
      <c r="B7" s="11">
        <f>COUNTIFS(Dependencies!$G$3:$G$76,$A7,Dependencies!$D$3:$D$76,B$2)</f>
        <v>0</v>
      </c>
      <c r="C7" s="11">
        <f>COUNTIFS(Dependencies!$G$3:$G$76,$A7,Dependencies!$D$3:$D$76,C$2)</f>
        <v>1</v>
      </c>
      <c r="D7" s="11">
        <f>COUNTIFS(Dependencies!$G$3:$G$76,$A7,Dependencies!$D$3:$D$76,D$2)</f>
        <v>0</v>
      </c>
      <c r="E7" s="11">
        <f>COUNTIFS(Dependencies!$G$3:$G$76,$A7,Dependencies!$D$3:$D$76,E$2)</f>
        <v>2</v>
      </c>
      <c r="F7" s="11">
        <f>COUNTIFS(Dependencies!$G$3:$G$76,$A7,Dependencies!$D$3:$D$76,F$2)</f>
        <v>4</v>
      </c>
      <c r="G7" s="11">
        <f>COUNTIFS(Dependencies!$G$3:$G$76,$A7,Dependencies!$D$3:$D$76,G$2)</f>
        <v>0</v>
      </c>
      <c r="H7" s="11">
        <f>COUNTIFS(Dependencies!$G$3:$G$76,$A7,Dependencies!$D$3:$D$76,H$2)</f>
        <v>0</v>
      </c>
      <c r="I7" s="11">
        <f>SUM(B7:H7)</f>
        <v>7</v>
      </c>
    </row>
    <row r="8" spans="1:9" ht="25.5" customHeight="1">
      <c r="A8" s="12" t="s">
        <v>385</v>
      </c>
      <c r="B8" s="11">
        <f>COUNTIFS(Dependencies!$G$3:$G$76,$A8,Dependencies!$D$3:$D$76,B$2)</f>
        <v>0</v>
      </c>
      <c r="C8" s="11">
        <f>COUNTIFS(Dependencies!$G$3:$G$76,$A8,Dependencies!$D$3:$D$76,C$2)</f>
        <v>0</v>
      </c>
      <c r="D8" s="11">
        <f>COUNTIFS(Dependencies!$G$3:$G$76,$A8,Dependencies!$D$3:$D$76,D$2)</f>
        <v>1</v>
      </c>
      <c r="E8" s="11">
        <f>COUNTIFS(Dependencies!$G$3:$G$76,$A8,Dependencies!$D$3:$D$76,E$2)</f>
        <v>0</v>
      </c>
      <c r="F8" s="11">
        <f>COUNTIFS(Dependencies!$G$3:$G$76,$A8,Dependencies!$D$3:$D$76,F$2)</f>
        <v>7</v>
      </c>
      <c r="G8" s="11">
        <f>COUNTIFS(Dependencies!$G$3:$G$76,$A8,Dependencies!$D$3:$D$76,G$2)</f>
        <v>0</v>
      </c>
      <c r="H8" s="11">
        <f>COUNTIFS(Dependencies!$G$3:$G$76,$A8,Dependencies!$D$3:$D$76,H$2)</f>
        <v>0</v>
      </c>
      <c r="I8" s="11">
        <f>SUM(B8:H8)</f>
        <v>8</v>
      </c>
    </row>
    <row r="9" spans="1:9" ht="25.5" customHeight="1">
      <c r="A9" s="12" t="s">
        <v>423</v>
      </c>
      <c r="B9" s="11">
        <f>COUNTIFS(Dependencies!$G$3:$G$76,$A9,Dependencies!$D$3:$D$76,B$2)</f>
        <v>0</v>
      </c>
      <c r="C9" s="11">
        <f>COUNTIFS(Dependencies!$G$3:$G$76,$A9,Dependencies!$D$3:$D$76,C$2)</f>
        <v>0</v>
      </c>
      <c r="D9" s="11">
        <f>COUNTIFS(Dependencies!$G$3:$G$76,$A9,Dependencies!$D$3:$D$76,D$2)</f>
        <v>1</v>
      </c>
      <c r="E9" s="11">
        <f>COUNTIFS(Dependencies!$G$3:$G$76,$A9,Dependencies!$D$3:$D$76,E$2)</f>
        <v>0</v>
      </c>
      <c r="F9" s="11">
        <f>COUNTIFS(Dependencies!$G$3:$G$76,$A9,Dependencies!$D$3:$D$76,F$2)</f>
        <v>1</v>
      </c>
      <c r="G9" s="11">
        <f>COUNTIFS(Dependencies!$G$3:$G$76,$A9,Dependencies!$D$3:$D$76,G$2)</f>
        <v>0</v>
      </c>
      <c r="H9" s="11">
        <f>COUNTIFS(Dependencies!$G$3:$G$76,$A9,Dependencies!$D$3:$D$76,H$2)</f>
        <v>0</v>
      </c>
      <c r="I9" s="11">
        <f>SUM(B9:H9)</f>
        <v>2</v>
      </c>
    </row>
    <row r="10" spans="1:9" ht="25.5" customHeight="1">
      <c r="A10" s="12" t="s">
        <v>366</v>
      </c>
      <c r="B10" s="11">
        <f>COUNTIFS(Dependencies!$G$3:$G$76,$A10,Dependencies!$D$3:$D$76,B$2)</f>
        <v>0</v>
      </c>
      <c r="C10" s="11">
        <f>COUNTIFS(Dependencies!$G$3:$G$76,$A10,Dependencies!$D$3:$D$76,C$2)</f>
        <v>0</v>
      </c>
      <c r="D10" s="11">
        <f>COUNTIFS(Dependencies!$G$3:$G$76,$A10,Dependencies!$D$3:$D$76,D$2)</f>
        <v>0</v>
      </c>
      <c r="E10" s="11">
        <f>COUNTIFS(Dependencies!$G$3:$G$76,$A10,Dependencies!$D$3:$D$76,E$2)</f>
        <v>0</v>
      </c>
      <c r="F10" s="11">
        <f>COUNTIFS(Dependencies!$G$3:$G$76,$A10,Dependencies!$D$3:$D$76,F$2)</f>
        <v>0</v>
      </c>
      <c r="G10" s="11">
        <f>COUNTIFS(Dependencies!$G$3:$G$76,$A10,Dependencies!$D$3:$D$76,G$2)</f>
        <v>5</v>
      </c>
      <c r="H10" s="11">
        <f>COUNTIFS(Dependencies!$G$3:$G$76,$A10,Dependencies!$D$3:$D$76,H$2)</f>
        <v>1</v>
      </c>
      <c r="I10" s="11">
        <f>SUM(B10:H10)</f>
        <v>6</v>
      </c>
    </row>
    <row r="11" spans="1:9">
      <c r="A11" s="4" t="s">
        <v>39</v>
      </c>
      <c r="B11" s="4">
        <f>SUM(B3:B10)</f>
        <v>7</v>
      </c>
      <c r="C11" s="4">
        <f>SUM(C3:C10)</f>
        <v>6</v>
      </c>
      <c r="D11" s="4">
        <f>SUM(D3:D10)</f>
        <v>16</v>
      </c>
      <c r="E11" s="4">
        <f>SUM(E3:E10)</f>
        <v>20</v>
      </c>
      <c r="F11" s="4">
        <f>SUM(F3:F10)</f>
        <v>14</v>
      </c>
      <c r="G11" s="4">
        <f>SUM(G3:G10)</f>
        <v>5</v>
      </c>
      <c r="H11" s="4">
        <f>SUM(H3:H10)</f>
        <v>4</v>
      </c>
      <c r="I11" s="4">
        <f>SUM(I3:I10)</f>
        <v>72</v>
      </c>
    </row>
    <row r="13" spans="1:9" ht="24" customHeight="1">
      <c r="A13" s="17" t="s">
        <v>560</v>
      </c>
      <c r="B13" s="17"/>
      <c r="C13" s="17"/>
      <c r="D13" s="17"/>
      <c r="E13" s="17"/>
      <c r="F13" s="17"/>
      <c r="G13" s="17"/>
      <c r="H13" s="17"/>
      <c r="I13" s="17"/>
    </row>
    <row r="14" spans="1:9" ht="30" customHeight="1">
      <c r="A14" s="1" t="s">
        <v>322</v>
      </c>
      <c r="B14" s="1" t="s">
        <v>320</v>
      </c>
      <c r="C14" s="1" t="s">
        <v>318</v>
      </c>
      <c r="D14" s="1" t="s">
        <v>1</v>
      </c>
      <c r="E14" s="1" t="s">
        <v>319</v>
      </c>
      <c r="F14" s="1" t="s">
        <v>321</v>
      </c>
      <c r="G14" s="1" t="s">
        <v>52</v>
      </c>
      <c r="H14" s="1" t="s">
        <v>323</v>
      </c>
      <c r="I14" s="1" t="s">
        <v>324</v>
      </c>
    </row>
    <row r="15" spans="1:9" ht="25.5" customHeight="1">
      <c r="A15" s="12" t="s">
        <v>353</v>
      </c>
      <c r="B15" s="12" t="s">
        <v>335</v>
      </c>
      <c r="C15" s="11" t="s">
        <v>325</v>
      </c>
      <c r="D15" s="11" t="s">
        <v>16</v>
      </c>
      <c r="E15" s="12" t="s">
        <v>326</v>
      </c>
      <c r="F15" s="13" t="s">
        <v>328</v>
      </c>
      <c r="G15" s="12" t="s">
        <v>561</v>
      </c>
      <c r="H15" s="11" t="s">
        <v>331</v>
      </c>
      <c r="I15" s="11" t="str">
        <f>INDEX(Dependencies!$I$3:$I$76,MATCH(C15,Dependencies!$A$3:$A$76,0))</f>
        <v>Not Started</v>
      </c>
    </row>
    <row r="16" spans="1:9" ht="25.5" customHeight="1">
      <c r="A16" s="12" t="s">
        <v>353</v>
      </c>
      <c r="B16" s="12" t="s">
        <v>335</v>
      </c>
      <c r="C16" s="11" t="s">
        <v>349</v>
      </c>
      <c r="D16" s="11" t="s">
        <v>16</v>
      </c>
      <c r="E16" s="12" t="s">
        <v>350</v>
      </c>
      <c r="F16" s="13" t="s">
        <v>342</v>
      </c>
      <c r="G16" s="12" t="s">
        <v>562</v>
      </c>
      <c r="H16" s="11" t="s">
        <v>331</v>
      </c>
      <c r="I16" s="11" t="str">
        <f>INDEX(Dependencies!$I$3:$I$76,MATCH(C16,Dependencies!$A$3:$A$76,0))</f>
        <v>Not Started</v>
      </c>
    </row>
    <row r="17" spans="1:9" ht="25.5" customHeight="1">
      <c r="A17" s="12" t="s">
        <v>353</v>
      </c>
      <c r="B17" s="12" t="s">
        <v>335</v>
      </c>
      <c r="C17" s="11" t="s">
        <v>445</v>
      </c>
      <c r="D17" s="11" t="s">
        <v>28</v>
      </c>
      <c r="E17" s="12" t="s">
        <v>446</v>
      </c>
      <c r="F17" s="13" t="s">
        <v>328</v>
      </c>
      <c r="G17" s="12" t="s">
        <v>388</v>
      </c>
      <c r="H17" s="11" t="s">
        <v>444</v>
      </c>
      <c r="I17" s="11" t="str">
        <f>INDEX(Dependencies!$I$3:$I$76,MATCH(C17,Dependencies!$A$3:$A$76,0))</f>
        <v>Not Started</v>
      </c>
    </row>
    <row r="18" spans="1:9" ht="25.5" customHeight="1">
      <c r="A18" s="12" t="s">
        <v>353</v>
      </c>
      <c r="B18" s="12" t="s">
        <v>335</v>
      </c>
      <c r="C18" s="11" t="s">
        <v>488</v>
      </c>
      <c r="D18" s="11" t="s">
        <v>31</v>
      </c>
      <c r="E18" s="12" t="s">
        <v>489</v>
      </c>
      <c r="F18" s="13" t="s">
        <v>328</v>
      </c>
      <c r="G18" s="12" t="s">
        <v>490</v>
      </c>
      <c r="H18" s="11" t="s">
        <v>484</v>
      </c>
      <c r="I18" s="11" t="str">
        <f>INDEX(Dependencies!$I$3:$I$76,MATCH(C18,Dependencies!$A$3:$A$76,0))</f>
        <v>Not Started</v>
      </c>
    </row>
    <row r="19" spans="1:9" ht="25.5" customHeight="1">
      <c r="A19" s="12" t="s">
        <v>353</v>
      </c>
      <c r="B19" s="12" t="s">
        <v>335</v>
      </c>
      <c r="C19" s="11" t="s">
        <v>525</v>
      </c>
      <c r="D19" s="11" t="s">
        <v>35</v>
      </c>
      <c r="E19" s="12" t="s">
        <v>526</v>
      </c>
      <c r="F19" s="13" t="s">
        <v>328</v>
      </c>
      <c r="G19" s="12" t="s">
        <v>377</v>
      </c>
      <c r="H19" s="11" t="s">
        <v>515</v>
      </c>
      <c r="I19" s="11" t="str">
        <f>INDEX(Dependencies!$I$3:$I$76,MATCH(C19,Dependencies!$A$3:$A$76,0))</f>
        <v>Not Started</v>
      </c>
    </row>
    <row r="20" spans="1:9" ht="25.5" customHeight="1">
      <c r="A20" s="12" t="s">
        <v>353</v>
      </c>
      <c r="B20" s="12" t="s">
        <v>357</v>
      </c>
      <c r="C20" s="11" t="s">
        <v>355</v>
      </c>
      <c r="D20" s="11" t="s">
        <v>16</v>
      </c>
      <c r="E20" s="12" t="s">
        <v>563</v>
      </c>
      <c r="F20" s="13" t="s">
        <v>342</v>
      </c>
      <c r="G20" s="12" t="s">
        <v>358</v>
      </c>
      <c r="H20" s="11" t="s">
        <v>331</v>
      </c>
      <c r="I20" s="11" t="str">
        <f>INDEX(Dependencies!$I$3:$I$76,MATCH(C20,Dependencies!$A$3:$A$76,0))</f>
        <v>Closed</v>
      </c>
    </row>
    <row r="21" spans="1:9" ht="25.5" customHeight="1">
      <c r="A21" s="12" t="s">
        <v>353</v>
      </c>
      <c r="B21" s="12" t="s">
        <v>357</v>
      </c>
      <c r="C21" s="11" t="s">
        <v>375</v>
      </c>
      <c r="D21" s="11" t="s">
        <v>16</v>
      </c>
      <c r="E21" s="12" t="s">
        <v>564</v>
      </c>
      <c r="F21" s="13" t="s">
        <v>342</v>
      </c>
      <c r="G21" s="12" t="s">
        <v>377</v>
      </c>
      <c r="H21" s="11" t="s">
        <v>331</v>
      </c>
      <c r="I21" s="11" t="str">
        <f>INDEX(Dependencies!$I$3:$I$76,MATCH(C21,Dependencies!$A$3:$A$76,0))</f>
        <v>Not Started</v>
      </c>
    </row>
    <row r="22" spans="1:9" ht="25.5" customHeight="1">
      <c r="A22" s="12" t="s">
        <v>353</v>
      </c>
      <c r="B22" s="12" t="s">
        <v>357</v>
      </c>
      <c r="C22" s="11" t="s">
        <v>516</v>
      </c>
      <c r="D22" s="11" t="s">
        <v>35</v>
      </c>
      <c r="E22" s="12" t="s">
        <v>517</v>
      </c>
      <c r="F22" s="13" t="s">
        <v>342</v>
      </c>
      <c r="G22" s="12" t="s">
        <v>518</v>
      </c>
      <c r="H22" s="11" t="s">
        <v>515</v>
      </c>
      <c r="I22" s="11" t="str">
        <f>INDEX(Dependencies!$I$3:$I$76,MATCH(C22,Dependencies!$A$3:$A$76,0))</f>
        <v>Not Started</v>
      </c>
    </row>
    <row r="23" spans="1:9" ht="25.5" customHeight="1">
      <c r="A23" s="12" t="s">
        <v>353</v>
      </c>
      <c r="B23" s="12" t="s">
        <v>357</v>
      </c>
      <c r="C23" s="11" t="s">
        <v>519</v>
      </c>
      <c r="D23" s="11" t="s">
        <v>35</v>
      </c>
      <c r="E23" s="12" t="s">
        <v>520</v>
      </c>
      <c r="F23" s="13" t="s">
        <v>328</v>
      </c>
      <c r="G23" s="12" t="s">
        <v>358</v>
      </c>
      <c r="H23" s="11" t="s">
        <v>515</v>
      </c>
      <c r="I23" s="11" t="str">
        <f>INDEX(Dependencies!$I$3:$I$76,MATCH(C23,Dependencies!$A$3:$A$76,0))</f>
        <v>Not Started</v>
      </c>
    </row>
    <row r="24" spans="1:9" ht="25.5" customHeight="1">
      <c r="A24" s="12" t="s">
        <v>353</v>
      </c>
      <c r="B24" s="12" t="s">
        <v>357</v>
      </c>
      <c r="C24" s="11" t="s">
        <v>530</v>
      </c>
      <c r="D24" s="11" t="s">
        <v>35</v>
      </c>
      <c r="E24" s="12" t="s">
        <v>531</v>
      </c>
      <c r="F24" s="13" t="s">
        <v>342</v>
      </c>
      <c r="G24" s="12" t="s">
        <v>532</v>
      </c>
      <c r="H24" s="11" t="s">
        <v>515</v>
      </c>
      <c r="I24" s="11" t="str">
        <f>INDEX(Dependencies!$I$3:$I$76,MATCH(C24,Dependencies!$A$3:$A$76,0))</f>
        <v>Not Started</v>
      </c>
    </row>
    <row r="25" spans="1:9" ht="25.5" customHeight="1">
      <c r="A25" s="12" t="s">
        <v>353</v>
      </c>
      <c r="B25" s="12" t="s">
        <v>347</v>
      </c>
      <c r="C25" s="11" t="s">
        <v>527</v>
      </c>
      <c r="D25" s="11" t="s">
        <v>35</v>
      </c>
      <c r="E25" s="12" t="s">
        <v>528</v>
      </c>
      <c r="F25" s="13" t="s">
        <v>328</v>
      </c>
      <c r="G25" s="12" t="s">
        <v>529</v>
      </c>
      <c r="H25" s="11" t="s">
        <v>515</v>
      </c>
      <c r="I25" s="11" t="str">
        <f>INDEX(Dependencies!$I$3:$I$76,MATCH(C25,Dependencies!$A$3:$A$76,0))</f>
        <v>Not Started</v>
      </c>
    </row>
    <row r="26" spans="1:9" ht="25.5" customHeight="1">
      <c r="A26" s="12" t="s">
        <v>353</v>
      </c>
      <c r="B26" s="12" t="s">
        <v>347</v>
      </c>
      <c r="C26" s="11" t="s">
        <v>538</v>
      </c>
      <c r="D26" s="11" t="s">
        <v>35</v>
      </c>
      <c r="E26" s="12" t="s">
        <v>539</v>
      </c>
      <c r="F26" s="13" t="s">
        <v>342</v>
      </c>
      <c r="G26" s="12" t="s">
        <v>540</v>
      </c>
      <c r="H26" s="11" t="s">
        <v>515</v>
      </c>
      <c r="I26" s="11" t="str">
        <f>INDEX(Dependencies!$I$3:$I$76,MATCH(C26,Dependencies!$A$3:$A$76,0))</f>
        <v>Not Started</v>
      </c>
    </row>
    <row r="27" spans="1:9" ht="25.5" customHeight="1">
      <c r="A27" s="12" t="s">
        <v>353</v>
      </c>
      <c r="B27" s="12" t="s">
        <v>347</v>
      </c>
      <c r="C27" s="11" t="s">
        <v>541</v>
      </c>
      <c r="D27" s="11" t="s">
        <v>35</v>
      </c>
      <c r="E27" s="12" t="s">
        <v>542</v>
      </c>
      <c r="F27" s="13" t="s">
        <v>342</v>
      </c>
      <c r="G27" s="12" t="s">
        <v>543</v>
      </c>
      <c r="H27" s="11" t="s">
        <v>515</v>
      </c>
      <c r="I27" s="11" t="str">
        <f>INDEX(Dependencies!$I$3:$I$76,MATCH(C27,Dependencies!$A$3:$A$76,0))</f>
        <v>Not Started</v>
      </c>
    </row>
    <row r="28" spans="1:9" ht="25.5" customHeight="1">
      <c r="A28" s="12" t="s">
        <v>353</v>
      </c>
      <c r="B28" s="12" t="s">
        <v>383</v>
      </c>
      <c r="C28" s="11" t="s">
        <v>481</v>
      </c>
      <c r="D28" s="11" t="s">
        <v>31</v>
      </c>
      <c r="E28" s="12" t="s">
        <v>482</v>
      </c>
      <c r="F28" s="13" t="s">
        <v>328</v>
      </c>
      <c r="G28" s="12" t="s">
        <v>483</v>
      </c>
      <c r="H28" s="11" t="s">
        <v>484</v>
      </c>
      <c r="I28" s="11" t="str">
        <f>INDEX(Dependencies!$I$3:$I$76,MATCH(C28,Dependencies!$A$3:$A$76,0))</f>
        <v>Closed</v>
      </c>
    </row>
    <row r="29" spans="1:9" ht="25.5" customHeight="1">
      <c r="A29" s="12" t="s">
        <v>353</v>
      </c>
      <c r="B29" s="12" t="s">
        <v>383</v>
      </c>
      <c r="C29" s="11" t="s">
        <v>485</v>
      </c>
      <c r="D29" s="11" t="s">
        <v>31</v>
      </c>
      <c r="E29" s="12" t="s">
        <v>486</v>
      </c>
      <c r="F29" s="13" t="s">
        <v>328</v>
      </c>
      <c r="G29" s="12" t="s">
        <v>487</v>
      </c>
      <c r="H29" s="11" t="s">
        <v>484</v>
      </c>
      <c r="I29" s="11" t="str">
        <f>INDEX(Dependencies!$I$3:$I$76,MATCH(C29,Dependencies!$A$3:$A$76,0))</f>
        <v>Not Started</v>
      </c>
    </row>
    <row r="30" spans="1:9" ht="25.5" customHeight="1">
      <c r="A30" s="12" t="s">
        <v>353</v>
      </c>
      <c r="B30" s="12" t="s">
        <v>523</v>
      </c>
      <c r="C30" s="11" t="s">
        <v>521</v>
      </c>
      <c r="D30" s="11" t="s">
        <v>35</v>
      </c>
      <c r="E30" s="12" t="s">
        <v>522</v>
      </c>
      <c r="F30" s="13" t="s">
        <v>342</v>
      </c>
      <c r="G30" s="12" t="s">
        <v>524</v>
      </c>
      <c r="H30" s="11" t="s">
        <v>515</v>
      </c>
      <c r="I30" s="11" t="str">
        <f>INDEX(Dependencies!$I$3:$I$76,MATCH(C30,Dependencies!$A$3:$A$76,0))</f>
        <v>Not Started</v>
      </c>
    </row>
    <row r="31" spans="1:9" ht="25.5" customHeight="1">
      <c r="A31" s="12" t="s">
        <v>337</v>
      </c>
      <c r="B31" s="12" t="s">
        <v>335</v>
      </c>
      <c r="C31" s="11" t="s">
        <v>333</v>
      </c>
      <c r="D31" s="11" t="s">
        <v>16</v>
      </c>
      <c r="E31" s="12" t="s">
        <v>334</v>
      </c>
      <c r="F31" s="13" t="s">
        <v>328</v>
      </c>
      <c r="G31" s="12" t="s">
        <v>336</v>
      </c>
      <c r="H31" s="11" t="s">
        <v>331</v>
      </c>
      <c r="I31" s="11" t="str">
        <f>INDEX(Dependencies!$I$3:$I$76,MATCH(C31,Dependencies!$A$3:$A$76,0))</f>
        <v>Closed</v>
      </c>
    </row>
    <row r="32" spans="1:9" ht="25.5" customHeight="1">
      <c r="A32" s="12" t="s">
        <v>337</v>
      </c>
      <c r="B32" s="12" t="s">
        <v>335</v>
      </c>
      <c r="C32" s="11" t="s">
        <v>386</v>
      </c>
      <c r="D32" s="11" t="s">
        <v>20</v>
      </c>
      <c r="E32" s="12" t="s">
        <v>387</v>
      </c>
      <c r="F32" s="13" t="s">
        <v>328</v>
      </c>
      <c r="G32" s="12" t="s">
        <v>388</v>
      </c>
      <c r="H32" s="11" t="s">
        <v>380</v>
      </c>
      <c r="I32" s="11" t="str">
        <f>INDEX(Dependencies!$I$3:$I$76,MATCH(C32,Dependencies!$A$3:$A$76,0))</f>
        <v>Not Started</v>
      </c>
    </row>
    <row r="33" spans="1:9" ht="25.5" customHeight="1">
      <c r="A33" s="12" t="s">
        <v>337</v>
      </c>
      <c r="B33" s="12" t="s">
        <v>335</v>
      </c>
      <c r="C33" s="11" t="s">
        <v>390</v>
      </c>
      <c r="D33" s="11" t="s">
        <v>20</v>
      </c>
      <c r="E33" s="12" t="s">
        <v>391</v>
      </c>
      <c r="F33" s="13" t="s">
        <v>328</v>
      </c>
      <c r="G33" s="12" t="s">
        <v>392</v>
      </c>
      <c r="H33" s="11" t="s">
        <v>380</v>
      </c>
      <c r="I33" s="11" t="str">
        <f>INDEX(Dependencies!$I$3:$I$76,MATCH(C33,Dependencies!$A$3:$A$76,0))</f>
        <v>Not Started</v>
      </c>
    </row>
    <row r="34" spans="1:9" ht="25.5" customHeight="1">
      <c r="A34" s="12" t="s">
        <v>337</v>
      </c>
      <c r="B34" s="12" t="s">
        <v>335</v>
      </c>
      <c r="C34" s="11" t="s">
        <v>506</v>
      </c>
      <c r="D34" s="11" t="s">
        <v>31</v>
      </c>
      <c r="E34" s="12" t="s">
        <v>507</v>
      </c>
      <c r="F34" s="13" t="s">
        <v>328</v>
      </c>
      <c r="G34" s="12" t="s">
        <v>336</v>
      </c>
      <c r="H34" s="11" t="s">
        <v>484</v>
      </c>
      <c r="I34" s="11" t="str">
        <f>INDEX(Dependencies!$I$3:$I$76,MATCH(C34,Dependencies!$A$3:$A$76,0))</f>
        <v>Closed</v>
      </c>
    </row>
    <row r="35" spans="1:9" ht="25.5" customHeight="1">
      <c r="A35" s="12" t="s">
        <v>337</v>
      </c>
      <c r="B35" s="12" t="s">
        <v>347</v>
      </c>
      <c r="C35" s="11" t="s">
        <v>396</v>
      </c>
      <c r="D35" s="11" t="s">
        <v>20</v>
      </c>
      <c r="E35" s="12" t="s">
        <v>397</v>
      </c>
      <c r="F35" s="13" t="s">
        <v>328</v>
      </c>
      <c r="G35" s="12" t="s">
        <v>392</v>
      </c>
      <c r="H35" s="11" t="s">
        <v>380</v>
      </c>
      <c r="I35" s="11" t="str">
        <f>INDEX(Dependencies!$I$3:$I$76,MATCH(C35,Dependencies!$A$3:$A$76,0))</f>
        <v>Not Started</v>
      </c>
    </row>
    <row r="36" spans="1:9" ht="25.5" customHeight="1">
      <c r="A36" s="12" t="s">
        <v>337</v>
      </c>
      <c r="B36" s="12" t="s">
        <v>347</v>
      </c>
      <c r="C36" s="11" t="s">
        <v>447</v>
      </c>
      <c r="D36" s="11" t="s">
        <v>28</v>
      </c>
      <c r="E36" s="12" t="s">
        <v>448</v>
      </c>
      <c r="F36" s="13" t="s">
        <v>328</v>
      </c>
      <c r="G36" s="12" t="s">
        <v>449</v>
      </c>
      <c r="H36" s="11" t="s">
        <v>444</v>
      </c>
      <c r="I36" s="11" t="str">
        <f>INDEX(Dependencies!$I$3:$I$76,MATCH(C36,Dependencies!$A$3:$A$76,0))</f>
        <v>Not Started</v>
      </c>
    </row>
    <row r="37" spans="1:9" ht="25.5" customHeight="1">
      <c r="A37" s="12" t="s">
        <v>337</v>
      </c>
      <c r="B37" s="12" t="s">
        <v>347</v>
      </c>
      <c r="C37" s="11" t="s">
        <v>501</v>
      </c>
      <c r="D37" s="11" t="s">
        <v>31</v>
      </c>
      <c r="E37" s="12" t="s">
        <v>502</v>
      </c>
      <c r="F37" s="13" t="s">
        <v>328</v>
      </c>
      <c r="G37" s="12" t="s">
        <v>503</v>
      </c>
      <c r="H37" s="11" t="s">
        <v>484</v>
      </c>
      <c r="I37" s="11" t="str">
        <f>INDEX(Dependencies!$I$3:$I$76,MATCH(C37,Dependencies!$A$3:$A$76,0))</f>
        <v>Not Started</v>
      </c>
    </row>
    <row r="38" spans="1:9" ht="25.5" customHeight="1">
      <c r="A38" s="12" t="s">
        <v>344</v>
      </c>
      <c r="B38" s="12" t="s">
        <v>341</v>
      </c>
      <c r="C38" s="11" t="s">
        <v>339</v>
      </c>
      <c r="D38" s="11" t="s">
        <v>16</v>
      </c>
      <c r="E38" s="12" t="s">
        <v>340</v>
      </c>
      <c r="F38" s="13" t="s">
        <v>342</v>
      </c>
      <c r="G38" s="12" t="s">
        <v>343</v>
      </c>
      <c r="H38" s="11" t="s">
        <v>331</v>
      </c>
      <c r="I38" s="11" t="str">
        <f>INDEX(Dependencies!$I$3:$I$76,MATCH(C38,Dependencies!$A$3:$A$76,0))</f>
        <v>Not Started</v>
      </c>
    </row>
    <row r="39" spans="1:9" ht="25.5" customHeight="1">
      <c r="A39" s="12" t="s">
        <v>344</v>
      </c>
      <c r="B39" s="12" t="s">
        <v>341</v>
      </c>
      <c r="C39" s="11" t="s">
        <v>370</v>
      </c>
      <c r="D39" s="11" t="s">
        <v>16</v>
      </c>
      <c r="E39" s="12" t="s">
        <v>371</v>
      </c>
      <c r="F39" s="13" t="s">
        <v>342</v>
      </c>
      <c r="G39" s="12" t="s">
        <v>344</v>
      </c>
      <c r="H39" s="11" t="s">
        <v>331</v>
      </c>
      <c r="I39" s="11" t="str">
        <f>INDEX(Dependencies!$I$3:$I$76,MATCH(C39,Dependencies!$A$3:$A$76,0))</f>
        <v>Not Started</v>
      </c>
    </row>
    <row r="40" spans="1:9" ht="25.5" customHeight="1">
      <c r="A40" s="12" t="s">
        <v>344</v>
      </c>
      <c r="B40" s="12" t="s">
        <v>341</v>
      </c>
      <c r="C40" s="11" t="s">
        <v>378</v>
      </c>
      <c r="D40" s="11" t="s">
        <v>20</v>
      </c>
      <c r="E40" s="12" t="s">
        <v>379</v>
      </c>
      <c r="F40" s="13" t="s">
        <v>342</v>
      </c>
      <c r="G40" s="12" t="s">
        <v>343</v>
      </c>
      <c r="H40" s="11" t="s">
        <v>380</v>
      </c>
      <c r="I40" s="11" t="str">
        <f>INDEX(Dependencies!$I$3:$I$76,MATCH(C40,Dependencies!$A$3:$A$76,0))</f>
        <v>Not Started</v>
      </c>
    </row>
    <row r="41" spans="1:9" ht="25.5" customHeight="1">
      <c r="A41" s="12" t="s">
        <v>344</v>
      </c>
      <c r="B41" s="12" t="s">
        <v>341</v>
      </c>
      <c r="C41" s="11" t="s">
        <v>393</v>
      </c>
      <c r="D41" s="11" t="s">
        <v>20</v>
      </c>
      <c r="E41" s="12" t="s">
        <v>394</v>
      </c>
      <c r="F41" s="13" t="s">
        <v>342</v>
      </c>
      <c r="G41" s="12" t="s">
        <v>395</v>
      </c>
      <c r="H41" s="11" t="s">
        <v>380</v>
      </c>
      <c r="I41" s="11" t="str">
        <f>INDEX(Dependencies!$I$3:$I$76,MATCH(C41,Dependencies!$A$3:$A$76,0))</f>
        <v>Not Started</v>
      </c>
    </row>
    <row r="42" spans="1:9" ht="25.5" customHeight="1">
      <c r="A42" s="12" t="s">
        <v>344</v>
      </c>
      <c r="B42" s="12" t="s">
        <v>341</v>
      </c>
      <c r="C42" s="11" t="s">
        <v>405</v>
      </c>
      <c r="D42" s="11" t="s">
        <v>20</v>
      </c>
      <c r="E42" s="12" t="s">
        <v>406</v>
      </c>
      <c r="F42" s="13" t="s">
        <v>342</v>
      </c>
      <c r="G42" s="12" t="s">
        <v>343</v>
      </c>
      <c r="H42" s="11" t="s">
        <v>380</v>
      </c>
      <c r="I42" s="11" t="str">
        <f>INDEX(Dependencies!$I$3:$I$76,MATCH(C42,Dependencies!$A$3:$A$76,0))</f>
        <v>Not Started</v>
      </c>
    </row>
    <row r="43" spans="1:9" ht="25.5" customHeight="1">
      <c r="A43" s="12" t="s">
        <v>344</v>
      </c>
      <c r="B43" s="12" t="s">
        <v>341</v>
      </c>
      <c r="C43" s="11" t="s">
        <v>409</v>
      </c>
      <c r="D43" s="11" t="s">
        <v>20</v>
      </c>
      <c r="E43" s="12" t="s">
        <v>410</v>
      </c>
      <c r="F43" s="13" t="s">
        <v>342</v>
      </c>
      <c r="G43" s="12" t="s">
        <v>343</v>
      </c>
      <c r="H43" s="11" t="s">
        <v>380</v>
      </c>
      <c r="I43" s="11" t="str">
        <f>INDEX(Dependencies!$I$3:$I$76,MATCH(C43,Dependencies!$A$3:$A$76,0))</f>
        <v>Not Started</v>
      </c>
    </row>
    <row r="44" spans="1:9" ht="25.5" customHeight="1">
      <c r="A44" s="12" t="s">
        <v>344</v>
      </c>
      <c r="B44" s="12" t="s">
        <v>341</v>
      </c>
      <c r="C44" s="11" t="s">
        <v>418</v>
      </c>
      <c r="D44" s="11" t="s">
        <v>24</v>
      </c>
      <c r="E44" s="12" t="s">
        <v>419</v>
      </c>
      <c r="F44" s="13" t="s">
        <v>342</v>
      </c>
      <c r="G44" s="12" t="s">
        <v>344</v>
      </c>
      <c r="H44" s="11" t="s">
        <v>417</v>
      </c>
      <c r="I44" s="11" t="str">
        <f>INDEX(Dependencies!$I$3:$I$76,MATCH(C44,Dependencies!$A$3:$A$76,0))</f>
        <v>Not Started</v>
      </c>
    </row>
    <row r="45" spans="1:9" ht="25.5" customHeight="1">
      <c r="A45" s="12" t="s">
        <v>344</v>
      </c>
      <c r="B45" s="12" t="s">
        <v>341</v>
      </c>
      <c r="C45" s="11" t="s">
        <v>431</v>
      </c>
      <c r="D45" s="11" t="s">
        <v>24</v>
      </c>
      <c r="E45" s="12" t="s">
        <v>432</v>
      </c>
      <c r="F45" s="13" t="s">
        <v>342</v>
      </c>
      <c r="G45" s="12" t="s">
        <v>343</v>
      </c>
      <c r="H45" s="11" t="s">
        <v>417</v>
      </c>
      <c r="I45" s="11" t="str">
        <f>INDEX(Dependencies!$I$3:$I$76,MATCH(C45,Dependencies!$A$3:$A$76,0))</f>
        <v>Not Started</v>
      </c>
    </row>
    <row r="46" spans="1:9" ht="25.5" customHeight="1">
      <c r="A46" s="12" t="s">
        <v>344</v>
      </c>
      <c r="B46" s="12" t="s">
        <v>341</v>
      </c>
      <c r="C46" s="11" t="s">
        <v>433</v>
      </c>
      <c r="D46" s="11" t="s">
        <v>24</v>
      </c>
      <c r="E46" s="12" t="s">
        <v>434</v>
      </c>
      <c r="F46" s="13" t="s">
        <v>342</v>
      </c>
      <c r="G46" s="12" t="s">
        <v>435</v>
      </c>
      <c r="H46" s="11" t="s">
        <v>417</v>
      </c>
      <c r="I46" s="11" t="str">
        <f>INDEX(Dependencies!$I$3:$I$76,MATCH(C46,Dependencies!$A$3:$A$76,0))</f>
        <v>Not Started</v>
      </c>
    </row>
    <row r="47" spans="1:9" ht="25.5" customHeight="1">
      <c r="A47" s="12" t="s">
        <v>344</v>
      </c>
      <c r="B47" s="12" t="s">
        <v>341</v>
      </c>
      <c r="C47" s="11" t="s">
        <v>436</v>
      </c>
      <c r="D47" s="11" t="s">
        <v>24</v>
      </c>
      <c r="E47" s="12" t="s">
        <v>437</v>
      </c>
      <c r="F47" s="13" t="s">
        <v>342</v>
      </c>
      <c r="G47" s="12" t="s">
        <v>343</v>
      </c>
      <c r="H47" s="11" t="s">
        <v>417</v>
      </c>
      <c r="I47" s="11" t="str">
        <f>INDEX(Dependencies!$I$3:$I$76,MATCH(C47,Dependencies!$A$3:$A$76,0))</f>
        <v>Not Started</v>
      </c>
    </row>
    <row r="48" spans="1:9" ht="25.5" customHeight="1">
      <c r="A48" s="12" t="s">
        <v>344</v>
      </c>
      <c r="B48" s="12" t="s">
        <v>341</v>
      </c>
      <c r="C48" s="11" t="s">
        <v>494</v>
      </c>
      <c r="D48" s="11" t="s">
        <v>31</v>
      </c>
      <c r="E48" s="12" t="s">
        <v>495</v>
      </c>
      <c r="F48" s="13" t="s">
        <v>342</v>
      </c>
      <c r="G48" s="12" t="s">
        <v>343</v>
      </c>
      <c r="H48" s="11" t="s">
        <v>484</v>
      </c>
      <c r="I48" s="11" t="str">
        <f>INDEX(Dependencies!$I$3:$I$76,MATCH(C48,Dependencies!$A$3:$A$76,0))</f>
        <v>Not Started</v>
      </c>
    </row>
    <row r="49" spans="1:9" ht="25.5" customHeight="1">
      <c r="A49" s="12" t="s">
        <v>344</v>
      </c>
      <c r="B49" s="12" t="s">
        <v>341</v>
      </c>
      <c r="C49" s="11" t="s">
        <v>496</v>
      </c>
      <c r="D49" s="11" t="s">
        <v>31</v>
      </c>
      <c r="E49" s="12" t="s">
        <v>497</v>
      </c>
      <c r="F49" s="13" t="s">
        <v>342</v>
      </c>
      <c r="G49" s="12" t="s">
        <v>343</v>
      </c>
      <c r="H49" s="11" t="s">
        <v>484</v>
      </c>
      <c r="I49" s="11" t="str">
        <f>INDEX(Dependencies!$I$3:$I$76,MATCH(C49,Dependencies!$A$3:$A$76,0))</f>
        <v>Not Started</v>
      </c>
    </row>
    <row r="50" spans="1:9" ht="25.5" customHeight="1">
      <c r="A50" s="12" t="s">
        <v>344</v>
      </c>
      <c r="B50" s="12" t="s">
        <v>347</v>
      </c>
      <c r="C50" s="11" t="s">
        <v>428</v>
      </c>
      <c r="D50" s="11" t="s">
        <v>24</v>
      </c>
      <c r="E50" s="12" t="s">
        <v>429</v>
      </c>
      <c r="F50" s="13" t="s">
        <v>342</v>
      </c>
      <c r="G50" s="12" t="s">
        <v>430</v>
      </c>
      <c r="H50" s="11" t="s">
        <v>417</v>
      </c>
      <c r="I50" s="11" t="str">
        <f>INDEX(Dependencies!$I$3:$I$76,MATCH(C50,Dependencies!$A$3:$A$76,0))</f>
        <v>Not Started</v>
      </c>
    </row>
    <row r="51" spans="1:9" ht="25.5" customHeight="1">
      <c r="A51" s="12" t="s">
        <v>344</v>
      </c>
      <c r="B51" s="12" t="s">
        <v>347</v>
      </c>
      <c r="C51" s="11" t="s">
        <v>465</v>
      </c>
      <c r="D51" s="11" t="s">
        <v>28</v>
      </c>
      <c r="E51" s="12" t="s">
        <v>466</v>
      </c>
      <c r="F51" s="13" t="s">
        <v>342</v>
      </c>
      <c r="G51" s="12" t="s">
        <v>467</v>
      </c>
      <c r="H51" s="11" t="s">
        <v>444</v>
      </c>
      <c r="I51" s="11" t="str">
        <f>INDEX(Dependencies!$I$3:$I$76,MATCH(C51,Dependencies!$A$3:$A$76,0))</f>
        <v>Not Started</v>
      </c>
    </row>
    <row r="52" spans="1:9" ht="25.5" customHeight="1">
      <c r="A52" s="12" t="s">
        <v>344</v>
      </c>
      <c r="B52" s="12" t="s">
        <v>347</v>
      </c>
      <c r="C52" s="11" t="s">
        <v>510</v>
      </c>
      <c r="D52" s="11" t="s">
        <v>31</v>
      </c>
      <c r="E52" s="12" t="s">
        <v>511</v>
      </c>
      <c r="F52" s="13" t="s">
        <v>342</v>
      </c>
      <c r="G52" s="12" t="s">
        <v>512</v>
      </c>
      <c r="H52" s="11" t="s">
        <v>484</v>
      </c>
      <c r="I52" s="11" t="str">
        <f>INDEX(Dependencies!$I$3:$I$76,MATCH(C52,Dependencies!$A$3:$A$76,0))</f>
        <v>Not Started</v>
      </c>
    </row>
    <row r="53" spans="1:9" ht="25.5" customHeight="1">
      <c r="A53" s="12" t="s">
        <v>330</v>
      </c>
      <c r="B53" s="12" t="s">
        <v>341</v>
      </c>
      <c r="C53" s="11" t="s">
        <v>491</v>
      </c>
      <c r="D53" s="11" t="s">
        <v>31</v>
      </c>
      <c r="E53" s="12" t="s">
        <v>492</v>
      </c>
      <c r="F53" s="13" t="s">
        <v>342</v>
      </c>
      <c r="G53" s="12" t="s">
        <v>493</v>
      </c>
      <c r="H53" s="11" t="s">
        <v>484</v>
      </c>
      <c r="I53" s="11" t="str">
        <f>INDEX(Dependencies!$I$3:$I$76,MATCH(C53,Dependencies!$A$3:$A$76,0))</f>
        <v>Not Started</v>
      </c>
    </row>
    <row r="54" spans="1:9" ht="25.5" customHeight="1">
      <c r="A54" s="12" t="s">
        <v>330</v>
      </c>
      <c r="B54" s="12" t="s">
        <v>341</v>
      </c>
      <c r="C54" s="11" t="s">
        <v>508</v>
      </c>
      <c r="D54" s="11" t="s">
        <v>31</v>
      </c>
      <c r="E54" s="12" t="s">
        <v>509</v>
      </c>
      <c r="F54" s="13" t="s">
        <v>342</v>
      </c>
      <c r="G54" s="12" t="s">
        <v>329</v>
      </c>
      <c r="H54" s="11" t="s">
        <v>484</v>
      </c>
      <c r="I54" s="11" t="str">
        <f>INDEX(Dependencies!$I$3:$I$76,MATCH(C54,Dependencies!$A$3:$A$76,0))</f>
        <v>Not Started</v>
      </c>
    </row>
    <row r="55" spans="1:9" ht="25.5" customHeight="1">
      <c r="A55" s="12" t="s">
        <v>330</v>
      </c>
      <c r="B55" s="12" t="s">
        <v>347</v>
      </c>
      <c r="C55" s="11" t="s">
        <v>345</v>
      </c>
      <c r="D55" s="11" t="s">
        <v>16</v>
      </c>
      <c r="E55" s="12" t="s">
        <v>346</v>
      </c>
      <c r="F55" s="13" t="s">
        <v>342</v>
      </c>
      <c r="G55" s="12" t="s">
        <v>348</v>
      </c>
      <c r="H55" s="11" t="s">
        <v>331</v>
      </c>
      <c r="I55" s="11" t="str">
        <f>INDEX(Dependencies!$I$3:$I$76,MATCH(C55,Dependencies!$A$3:$A$76,0))</f>
        <v>Not Started</v>
      </c>
    </row>
    <row r="56" spans="1:9" ht="25.5" customHeight="1">
      <c r="A56" s="12" t="s">
        <v>330</v>
      </c>
      <c r="B56" s="12" t="s">
        <v>347</v>
      </c>
      <c r="C56" s="11" t="s">
        <v>359</v>
      </c>
      <c r="D56" s="11" t="s">
        <v>16</v>
      </c>
      <c r="E56" s="12" t="s">
        <v>565</v>
      </c>
      <c r="F56" s="13" t="s">
        <v>342</v>
      </c>
      <c r="G56" s="12" t="s">
        <v>361</v>
      </c>
      <c r="H56" s="11" t="s">
        <v>331</v>
      </c>
      <c r="I56" s="11" t="str">
        <f>INDEX(Dependencies!$I$3:$I$76,MATCH(C56,Dependencies!$A$3:$A$76,0))</f>
        <v>Closed</v>
      </c>
    </row>
    <row r="57" spans="1:9" ht="25.5" customHeight="1">
      <c r="A57" s="12" t="s">
        <v>330</v>
      </c>
      <c r="B57" s="12" t="s">
        <v>347</v>
      </c>
      <c r="C57" s="11" t="s">
        <v>373</v>
      </c>
      <c r="D57" s="11" t="s">
        <v>16</v>
      </c>
      <c r="E57" s="12" t="s">
        <v>374</v>
      </c>
      <c r="F57" s="13" t="s">
        <v>342</v>
      </c>
      <c r="G57" s="12" t="s">
        <v>329</v>
      </c>
      <c r="H57" s="11" t="s">
        <v>331</v>
      </c>
      <c r="I57" s="11" t="str">
        <f>INDEX(Dependencies!$I$3:$I$76,MATCH(C57,Dependencies!$A$3:$A$76,0))</f>
        <v>Not Started</v>
      </c>
    </row>
    <row r="58" spans="1:9" ht="25.5" customHeight="1">
      <c r="A58" s="12" t="s">
        <v>330</v>
      </c>
      <c r="B58" s="12" t="s">
        <v>347</v>
      </c>
      <c r="C58" s="11" t="s">
        <v>407</v>
      </c>
      <c r="D58" s="11" t="s">
        <v>20</v>
      </c>
      <c r="E58" s="12" t="s">
        <v>408</v>
      </c>
      <c r="F58" s="13" t="s">
        <v>342</v>
      </c>
      <c r="G58" s="12" t="s">
        <v>348</v>
      </c>
      <c r="H58" s="11" t="s">
        <v>380</v>
      </c>
      <c r="I58" s="11" t="str">
        <f>INDEX(Dependencies!$I$3:$I$76,MATCH(C58,Dependencies!$A$3:$A$76,0))</f>
        <v>Not Started</v>
      </c>
    </row>
    <row r="59" spans="1:9" ht="25.5" customHeight="1">
      <c r="A59" s="12" t="s">
        <v>330</v>
      </c>
      <c r="B59" s="12" t="s">
        <v>347</v>
      </c>
      <c r="C59" s="11" t="s">
        <v>414</v>
      </c>
      <c r="D59" s="11" t="s">
        <v>24</v>
      </c>
      <c r="E59" s="12" t="s">
        <v>415</v>
      </c>
      <c r="F59" s="13" t="s">
        <v>342</v>
      </c>
      <c r="G59" s="12" t="s">
        <v>416</v>
      </c>
      <c r="H59" s="11" t="s">
        <v>417</v>
      </c>
      <c r="I59" s="11" t="str">
        <f>INDEX(Dependencies!$I$3:$I$76,MATCH(C59,Dependencies!$A$3:$A$76,0))</f>
        <v>Not Started</v>
      </c>
    </row>
    <row r="60" spans="1:9" ht="25.5" customHeight="1">
      <c r="A60" s="12" t="s">
        <v>330</v>
      </c>
      <c r="B60" s="12" t="s">
        <v>347</v>
      </c>
      <c r="C60" s="11" t="s">
        <v>450</v>
      </c>
      <c r="D60" s="11" t="s">
        <v>28</v>
      </c>
      <c r="E60" s="12" t="s">
        <v>451</v>
      </c>
      <c r="F60" s="13" t="s">
        <v>342</v>
      </c>
      <c r="G60" s="12" t="s">
        <v>452</v>
      </c>
      <c r="H60" s="11" t="s">
        <v>444</v>
      </c>
      <c r="I60" s="11" t="str">
        <f>INDEX(Dependencies!$I$3:$I$76,MATCH(C60,Dependencies!$A$3:$A$76,0))</f>
        <v>Not Started</v>
      </c>
    </row>
    <row r="61" spans="1:9" ht="25.5" customHeight="1">
      <c r="A61" s="12" t="s">
        <v>330</v>
      </c>
      <c r="B61" s="12" t="s">
        <v>347</v>
      </c>
      <c r="C61" s="11" t="s">
        <v>479</v>
      </c>
      <c r="D61" s="11" t="s">
        <v>28</v>
      </c>
      <c r="E61" s="12" t="s">
        <v>480</v>
      </c>
      <c r="F61" s="13" t="s">
        <v>342</v>
      </c>
      <c r="G61" s="12" t="s">
        <v>329</v>
      </c>
      <c r="H61" s="11" t="s">
        <v>444</v>
      </c>
      <c r="I61" s="11" t="str">
        <f>INDEX(Dependencies!$I$3:$I$76,MATCH(C61,Dependencies!$A$3:$A$76,0))</f>
        <v>Not Started</v>
      </c>
    </row>
    <row r="62" spans="1:9" ht="25.5" customHeight="1">
      <c r="A62" s="12" t="s">
        <v>330</v>
      </c>
      <c r="B62" s="12" t="s">
        <v>347</v>
      </c>
      <c r="C62" s="11" t="s">
        <v>504</v>
      </c>
      <c r="D62" s="11" t="s">
        <v>31</v>
      </c>
      <c r="E62" s="12" t="s">
        <v>505</v>
      </c>
      <c r="F62" s="13" t="s">
        <v>342</v>
      </c>
      <c r="G62" s="12" t="s">
        <v>329</v>
      </c>
      <c r="H62" s="11" t="s">
        <v>484</v>
      </c>
      <c r="I62" s="11" t="str">
        <f>INDEX(Dependencies!$I$3:$I$76,MATCH(C62,Dependencies!$A$3:$A$76,0))</f>
        <v>Not Started</v>
      </c>
    </row>
    <row r="63" spans="1:9" ht="25.5" customHeight="1">
      <c r="A63" s="12" t="s">
        <v>330</v>
      </c>
      <c r="B63" s="12" t="s">
        <v>347</v>
      </c>
      <c r="C63" s="11" t="s">
        <v>513</v>
      </c>
      <c r="D63" s="11" t="s">
        <v>35</v>
      </c>
      <c r="E63" s="12" t="s">
        <v>514</v>
      </c>
      <c r="F63" s="13" t="s">
        <v>342</v>
      </c>
      <c r="G63" s="12" t="s">
        <v>329</v>
      </c>
      <c r="H63" s="11" t="s">
        <v>515</v>
      </c>
      <c r="I63" s="11" t="str">
        <f>INDEX(Dependencies!$I$3:$I$76,MATCH(C63,Dependencies!$A$3:$A$76,0))</f>
        <v>Not Started</v>
      </c>
    </row>
    <row r="64" spans="1:9" ht="25.5" customHeight="1">
      <c r="A64" s="12" t="s">
        <v>330</v>
      </c>
      <c r="B64" s="12" t="s">
        <v>523</v>
      </c>
      <c r="C64" s="11" t="s">
        <v>533</v>
      </c>
      <c r="D64" s="11" t="s">
        <v>35</v>
      </c>
      <c r="E64" s="12" t="s">
        <v>534</v>
      </c>
      <c r="F64" s="13" t="s">
        <v>342</v>
      </c>
      <c r="G64" s="12" t="s">
        <v>329</v>
      </c>
      <c r="H64" s="11" t="s">
        <v>515</v>
      </c>
      <c r="I64" s="11" t="str">
        <f>INDEX(Dependencies!$I$3:$I$76,MATCH(C64,Dependencies!$A$3:$A$76,0))</f>
        <v>Not Started</v>
      </c>
    </row>
    <row r="65" spans="1:9" ht="25.5" customHeight="1">
      <c r="A65" s="12" t="s">
        <v>330</v>
      </c>
      <c r="B65" s="12" t="s">
        <v>523</v>
      </c>
      <c r="C65" s="11" t="s">
        <v>544</v>
      </c>
      <c r="D65" s="11" t="s">
        <v>35</v>
      </c>
      <c r="E65" s="12" t="s">
        <v>545</v>
      </c>
      <c r="F65" s="13" t="s">
        <v>342</v>
      </c>
      <c r="G65" s="12" t="s">
        <v>546</v>
      </c>
      <c r="H65" s="11" t="s">
        <v>515</v>
      </c>
      <c r="I65" s="11" t="str">
        <f>INDEX(Dependencies!$I$3:$I$76,MATCH(C65,Dependencies!$A$3:$A$76,0))</f>
        <v>Not Started</v>
      </c>
    </row>
    <row r="66" spans="1:9" ht="25.5" customHeight="1">
      <c r="A66" s="12" t="s">
        <v>440</v>
      </c>
      <c r="B66" s="12" t="s">
        <v>357</v>
      </c>
      <c r="C66" s="11" t="s">
        <v>461</v>
      </c>
      <c r="D66" s="11" t="s">
        <v>28</v>
      </c>
      <c r="E66" s="12" t="s">
        <v>462</v>
      </c>
      <c r="F66" s="13" t="s">
        <v>328</v>
      </c>
      <c r="G66" s="12" t="s">
        <v>440</v>
      </c>
      <c r="H66" s="11" t="s">
        <v>444</v>
      </c>
      <c r="I66" s="11" t="str">
        <f>INDEX(Dependencies!$I$3:$I$76,MATCH(C66,Dependencies!$A$3:$A$76,0))</f>
        <v>Not Started</v>
      </c>
    </row>
    <row r="67" spans="1:9" ht="25.5" customHeight="1">
      <c r="A67" s="12" t="s">
        <v>440</v>
      </c>
      <c r="B67" s="12" t="s">
        <v>347</v>
      </c>
      <c r="C67" s="11" t="s">
        <v>456</v>
      </c>
      <c r="D67" s="11" t="s">
        <v>28</v>
      </c>
      <c r="E67" s="12" t="s">
        <v>457</v>
      </c>
      <c r="F67" s="13" t="s">
        <v>328</v>
      </c>
      <c r="G67" s="12" t="s">
        <v>458</v>
      </c>
      <c r="H67" s="11" t="s">
        <v>444</v>
      </c>
      <c r="I67" s="11" t="str">
        <f>INDEX(Dependencies!$I$3:$I$76,MATCH(C67,Dependencies!$A$3:$A$76,0))</f>
        <v>Not Started</v>
      </c>
    </row>
    <row r="68" spans="1:9" ht="25.5" customHeight="1">
      <c r="A68" s="12" t="s">
        <v>440</v>
      </c>
      <c r="B68" s="12" t="s">
        <v>347</v>
      </c>
      <c r="C68" s="11" t="s">
        <v>470</v>
      </c>
      <c r="D68" s="11" t="s">
        <v>28</v>
      </c>
      <c r="E68" s="12" t="s">
        <v>471</v>
      </c>
      <c r="F68" s="13" t="s">
        <v>328</v>
      </c>
      <c r="G68" s="12" t="s">
        <v>472</v>
      </c>
      <c r="H68" s="11" t="s">
        <v>444</v>
      </c>
      <c r="I68" s="11" t="str">
        <f>INDEX(Dependencies!$I$3:$I$76,MATCH(C68,Dependencies!$A$3:$A$76,0))</f>
        <v>Not Started</v>
      </c>
    </row>
    <row r="69" spans="1:9" ht="25.5" customHeight="1">
      <c r="A69" s="12" t="s">
        <v>440</v>
      </c>
      <c r="B69" s="12" t="s">
        <v>383</v>
      </c>
      <c r="C69" s="11" t="s">
        <v>438</v>
      </c>
      <c r="D69" s="11" t="s">
        <v>24</v>
      </c>
      <c r="E69" s="12" t="s">
        <v>439</v>
      </c>
      <c r="F69" s="13" t="s">
        <v>328</v>
      </c>
      <c r="G69" s="12" t="s">
        <v>440</v>
      </c>
      <c r="H69" s="11" t="s">
        <v>417</v>
      </c>
      <c r="I69" s="11" t="str">
        <f>INDEX(Dependencies!$I$3:$I$76,MATCH(C69,Dependencies!$A$3:$A$76,0))</f>
        <v>Not Started</v>
      </c>
    </row>
    <row r="70" spans="1:9" ht="25.5" customHeight="1">
      <c r="A70" s="12" t="s">
        <v>440</v>
      </c>
      <c r="B70" s="12" t="s">
        <v>383</v>
      </c>
      <c r="C70" s="11" t="s">
        <v>453</v>
      </c>
      <c r="D70" s="11" t="s">
        <v>28</v>
      </c>
      <c r="E70" s="12" t="s">
        <v>454</v>
      </c>
      <c r="F70" s="13" t="s">
        <v>328</v>
      </c>
      <c r="G70" s="12" t="s">
        <v>455</v>
      </c>
      <c r="H70" s="11" t="s">
        <v>444</v>
      </c>
      <c r="I70" s="11" t="str">
        <f>INDEX(Dependencies!$I$3:$I$76,MATCH(C70,Dependencies!$A$3:$A$76,0))</f>
        <v>Not Started</v>
      </c>
    </row>
    <row r="71" spans="1:9" ht="25.5" customHeight="1">
      <c r="A71" s="12" t="s">
        <v>440</v>
      </c>
      <c r="B71" s="12" t="s">
        <v>383</v>
      </c>
      <c r="C71" s="11" t="s">
        <v>459</v>
      </c>
      <c r="D71" s="11" t="s">
        <v>28</v>
      </c>
      <c r="E71" s="12" t="s">
        <v>460</v>
      </c>
      <c r="F71" s="13" t="s">
        <v>328</v>
      </c>
      <c r="G71" s="12" t="s">
        <v>440</v>
      </c>
      <c r="H71" s="11" t="s">
        <v>444</v>
      </c>
      <c r="I71" s="11" t="str">
        <f>INDEX(Dependencies!$I$3:$I$76,MATCH(C71,Dependencies!$A$3:$A$76,0))</f>
        <v>Not Started</v>
      </c>
    </row>
    <row r="72" spans="1:9" ht="25.5" customHeight="1">
      <c r="A72" s="12" t="s">
        <v>440</v>
      </c>
      <c r="B72" s="12" t="s">
        <v>383</v>
      </c>
      <c r="C72" s="11" t="s">
        <v>468</v>
      </c>
      <c r="D72" s="11" t="s">
        <v>28</v>
      </c>
      <c r="E72" s="12" t="s">
        <v>469</v>
      </c>
      <c r="F72" s="13" t="s">
        <v>328</v>
      </c>
      <c r="G72" s="12" t="s">
        <v>440</v>
      </c>
      <c r="H72" s="11" t="s">
        <v>444</v>
      </c>
      <c r="I72" s="11" t="str">
        <f>INDEX(Dependencies!$I$3:$I$76,MATCH(C72,Dependencies!$A$3:$A$76,0))</f>
        <v>Not Started</v>
      </c>
    </row>
    <row r="73" spans="1:9" ht="25.5" customHeight="1">
      <c r="A73" s="12" t="s">
        <v>385</v>
      </c>
      <c r="B73" s="12" t="s">
        <v>341</v>
      </c>
      <c r="C73" s="11" t="s">
        <v>498</v>
      </c>
      <c r="D73" s="11" t="s">
        <v>31</v>
      </c>
      <c r="E73" s="12" t="s">
        <v>499</v>
      </c>
      <c r="F73" s="13" t="s">
        <v>342</v>
      </c>
      <c r="G73" s="12" t="s">
        <v>500</v>
      </c>
      <c r="H73" s="11" t="s">
        <v>484</v>
      </c>
      <c r="I73" s="11" t="str">
        <f>INDEX(Dependencies!$I$3:$I$76,MATCH(C73,Dependencies!$A$3:$A$76,0))</f>
        <v>Not Started</v>
      </c>
    </row>
    <row r="74" spans="1:9" ht="25.5" customHeight="1">
      <c r="A74" s="12" t="s">
        <v>385</v>
      </c>
      <c r="B74" s="12" t="s">
        <v>383</v>
      </c>
      <c r="C74" s="11" t="s">
        <v>381</v>
      </c>
      <c r="D74" s="11" t="s">
        <v>20</v>
      </c>
      <c r="E74" s="12" t="s">
        <v>382</v>
      </c>
      <c r="F74" s="13" t="s">
        <v>328</v>
      </c>
      <c r="G74" s="12" t="s">
        <v>384</v>
      </c>
      <c r="H74" s="11" t="s">
        <v>380</v>
      </c>
      <c r="I74" s="11" t="str">
        <f>INDEX(Dependencies!$I$3:$I$76,MATCH(C74,Dependencies!$A$3:$A$76,0))</f>
        <v>Not Started</v>
      </c>
    </row>
    <row r="75" spans="1:9" ht="25.5" customHeight="1">
      <c r="A75" s="12" t="s">
        <v>385</v>
      </c>
      <c r="B75" s="12" t="s">
        <v>383</v>
      </c>
      <c r="C75" s="11" t="s">
        <v>398</v>
      </c>
      <c r="D75" s="11" t="s">
        <v>20</v>
      </c>
      <c r="E75" s="12" t="s">
        <v>399</v>
      </c>
      <c r="F75" s="13" t="s">
        <v>328</v>
      </c>
      <c r="G75" s="12" t="s">
        <v>400</v>
      </c>
      <c r="H75" s="11" t="s">
        <v>380</v>
      </c>
      <c r="I75" s="11" t="str">
        <f>INDEX(Dependencies!$I$3:$I$76,MATCH(C75,Dependencies!$A$3:$A$76,0))</f>
        <v>Closed</v>
      </c>
    </row>
    <row r="76" spans="1:9" ht="25.5" customHeight="1">
      <c r="A76" s="12" t="s">
        <v>385</v>
      </c>
      <c r="B76" s="12" t="s">
        <v>383</v>
      </c>
      <c r="C76" s="11" t="s">
        <v>401</v>
      </c>
      <c r="D76" s="11" t="s">
        <v>20</v>
      </c>
      <c r="E76" s="12" t="s">
        <v>402</v>
      </c>
      <c r="F76" s="13" t="s">
        <v>328</v>
      </c>
      <c r="G76" s="12" t="s">
        <v>403</v>
      </c>
      <c r="H76" s="11" t="s">
        <v>380</v>
      </c>
      <c r="I76" s="11" t="str">
        <f>INDEX(Dependencies!$I$3:$I$76,MATCH(C76,Dependencies!$A$3:$A$76,0))</f>
        <v>Closed</v>
      </c>
    </row>
    <row r="77" spans="1:9" ht="25.5" customHeight="1">
      <c r="A77" s="12" t="s">
        <v>385</v>
      </c>
      <c r="B77" s="12" t="s">
        <v>383</v>
      </c>
      <c r="C77" s="11" t="s">
        <v>424</v>
      </c>
      <c r="D77" s="11" t="s">
        <v>24</v>
      </c>
      <c r="E77" s="12" t="s">
        <v>425</v>
      </c>
      <c r="F77" s="13" t="s">
        <v>328</v>
      </c>
      <c r="G77" s="12" t="s">
        <v>400</v>
      </c>
      <c r="H77" s="11" t="s">
        <v>417</v>
      </c>
      <c r="I77" s="11" t="str">
        <f>INDEX(Dependencies!$I$3:$I$76,MATCH(C77,Dependencies!$A$3:$A$76,0))</f>
        <v>Not Started</v>
      </c>
    </row>
    <row r="78" spans="1:9" ht="25.5" customHeight="1">
      <c r="A78" s="12" t="s">
        <v>385</v>
      </c>
      <c r="B78" s="12" t="s">
        <v>383</v>
      </c>
      <c r="C78" s="11" t="s">
        <v>441</v>
      </c>
      <c r="D78" s="11" t="s">
        <v>28</v>
      </c>
      <c r="E78" s="12" t="s">
        <v>442</v>
      </c>
      <c r="F78" s="13" t="s">
        <v>328</v>
      </c>
      <c r="G78" s="12" t="s">
        <v>443</v>
      </c>
      <c r="H78" s="11" t="s">
        <v>444</v>
      </c>
      <c r="I78" s="11" t="str">
        <f>INDEX(Dependencies!$I$3:$I$76,MATCH(C78,Dependencies!$A$3:$A$76,0))</f>
        <v>Not Started</v>
      </c>
    </row>
    <row r="79" spans="1:9" ht="25.5" customHeight="1">
      <c r="A79" s="12" t="s">
        <v>385</v>
      </c>
      <c r="B79" s="12" t="s">
        <v>383</v>
      </c>
      <c r="C79" s="11" t="s">
        <v>476</v>
      </c>
      <c r="D79" s="11" t="s">
        <v>28</v>
      </c>
      <c r="E79" s="12" t="s">
        <v>477</v>
      </c>
      <c r="F79" s="13" t="s">
        <v>328</v>
      </c>
      <c r="G79" s="12" t="s">
        <v>478</v>
      </c>
      <c r="H79" s="11" t="s">
        <v>444</v>
      </c>
      <c r="I79" s="11" t="str">
        <f>INDEX(Dependencies!$I$3:$I$76,MATCH(C79,Dependencies!$A$3:$A$76,0))</f>
        <v>Not Started</v>
      </c>
    </row>
    <row r="80" spans="1:9" ht="25.5" customHeight="1">
      <c r="A80" s="12" t="s">
        <v>385</v>
      </c>
      <c r="B80" s="12" t="s">
        <v>383</v>
      </c>
      <c r="C80" s="11" t="s">
        <v>535</v>
      </c>
      <c r="D80" s="11" t="s">
        <v>35</v>
      </c>
      <c r="E80" s="12" t="s">
        <v>536</v>
      </c>
      <c r="F80" s="13" t="s">
        <v>328</v>
      </c>
      <c r="G80" s="12" t="s">
        <v>537</v>
      </c>
      <c r="H80" s="11" t="s">
        <v>515</v>
      </c>
      <c r="I80" s="11" t="str">
        <f>INDEX(Dependencies!$I$3:$I$76,MATCH(C80,Dependencies!$A$3:$A$76,0))</f>
        <v>Not Started</v>
      </c>
    </row>
    <row r="81" spans="1:9" ht="25.5" customHeight="1">
      <c r="A81" s="12" t="s">
        <v>423</v>
      </c>
      <c r="B81" s="12" t="s">
        <v>341</v>
      </c>
      <c r="C81" s="11" t="s">
        <v>420</v>
      </c>
      <c r="D81" s="11" t="s">
        <v>24</v>
      </c>
      <c r="E81" s="12" t="s">
        <v>421</v>
      </c>
      <c r="F81" s="13" t="s">
        <v>342</v>
      </c>
      <c r="G81" s="12" t="s">
        <v>422</v>
      </c>
      <c r="H81" s="11" t="s">
        <v>417</v>
      </c>
      <c r="I81" s="11" t="str">
        <f>INDEX(Dependencies!$I$3:$I$76,MATCH(C81,Dependencies!$A$3:$A$76,0))</f>
        <v>Not Started</v>
      </c>
    </row>
    <row r="82" spans="1:9" ht="25.5" customHeight="1">
      <c r="A82" s="12" t="s">
        <v>423</v>
      </c>
      <c r="B82" s="12" t="s">
        <v>383</v>
      </c>
      <c r="C82" s="11" t="s">
        <v>473</v>
      </c>
      <c r="D82" s="11" t="s">
        <v>28</v>
      </c>
      <c r="E82" s="12" t="s">
        <v>474</v>
      </c>
      <c r="F82" s="13" t="s">
        <v>328</v>
      </c>
      <c r="G82" s="12" t="s">
        <v>475</v>
      </c>
      <c r="H82" s="11" t="s">
        <v>444</v>
      </c>
      <c r="I82" s="11" t="str">
        <f>INDEX(Dependencies!$I$3:$I$76,MATCH(C82,Dependencies!$A$3:$A$76,0))</f>
        <v>Not Started</v>
      </c>
    </row>
    <row r="83" spans="1:9" ht="25.5" customHeight="1">
      <c r="A83" s="12" t="s">
        <v>366</v>
      </c>
      <c r="B83" s="12" t="s">
        <v>364</v>
      </c>
      <c r="C83" s="11" t="s">
        <v>362</v>
      </c>
      <c r="D83" s="11" t="s">
        <v>16</v>
      </c>
      <c r="E83" s="12" t="s">
        <v>363</v>
      </c>
      <c r="F83" s="13" t="s">
        <v>342</v>
      </c>
      <c r="G83" s="12" t="s">
        <v>365</v>
      </c>
      <c r="H83" s="11" t="s">
        <v>367</v>
      </c>
      <c r="I83" s="11" t="str">
        <f>INDEX(Dependencies!$I$3:$I$76,MATCH(C83,Dependencies!$A$3:$A$76,0))</f>
        <v>In Progress</v>
      </c>
    </row>
    <row r="84" spans="1:9" ht="25.5" customHeight="1">
      <c r="A84" s="12" t="s">
        <v>366</v>
      </c>
      <c r="B84" s="12" t="s">
        <v>364</v>
      </c>
      <c r="C84" s="11" t="s">
        <v>368</v>
      </c>
      <c r="D84" s="11" t="s">
        <v>16</v>
      </c>
      <c r="E84" s="12" t="s">
        <v>369</v>
      </c>
      <c r="F84" s="13" t="s">
        <v>342</v>
      </c>
      <c r="G84" s="12" t="s">
        <v>365</v>
      </c>
      <c r="H84" s="11" t="s">
        <v>367</v>
      </c>
      <c r="I84" s="11" t="str">
        <f>INDEX(Dependencies!$I$3:$I$76,MATCH(C84,Dependencies!$A$3:$A$76,0))</f>
        <v>In Progress</v>
      </c>
    </row>
    <row r="85" spans="1:9" ht="25.5" customHeight="1">
      <c r="A85" s="12" t="s">
        <v>366</v>
      </c>
      <c r="B85" s="12" t="s">
        <v>364</v>
      </c>
      <c r="C85" s="11" t="s">
        <v>411</v>
      </c>
      <c r="D85" s="11" t="s">
        <v>20</v>
      </c>
      <c r="E85" s="12" t="s">
        <v>412</v>
      </c>
      <c r="F85" s="13" t="s">
        <v>342</v>
      </c>
      <c r="G85" s="12" t="s">
        <v>365</v>
      </c>
      <c r="H85" s="11" t="s">
        <v>413</v>
      </c>
      <c r="I85" s="11" t="str">
        <f>INDEX(Dependencies!$I$3:$I$76,MATCH(C85,Dependencies!$A$3:$A$76,0))</f>
        <v>Not Started</v>
      </c>
    </row>
    <row r="86" spans="1:9" ht="25.5" customHeight="1">
      <c r="A86" s="12" t="s">
        <v>366</v>
      </c>
      <c r="B86" s="12" t="s">
        <v>364</v>
      </c>
      <c r="C86" s="11" t="s">
        <v>426</v>
      </c>
      <c r="D86" s="11" t="s">
        <v>24</v>
      </c>
      <c r="E86" s="12" t="s">
        <v>427</v>
      </c>
      <c r="F86" s="13" t="s">
        <v>342</v>
      </c>
      <c r="G86" s="12" t="s">
        <v>365</v>
      </c>
      <c r="H86" s="11" t="s">
        <v>417</v>
      </c>
      <c r="I86" s="11" t="str">
        <f>INDEX(Dependencies!$I$3:$I$76,MATCH(C86,Dependencies!$A$3:$A$76,0))</f>
        <v>Not Started</v>
      </c>
    </row>
    <row r="87" spans="1:9" ht="25.5" customHeight="1">
      <c r="A87" s="12" t="s">
        <v>366</v>
      </c>
      <c r="B87" s="12" t="s">
        <v>364</v>
      </c>
      <c r="C87" s="11" t="s">
        <v>463</v>
      </c>
      <c r="D87" s="11" t="s">
        <v>28</v>
      </c>
      <c r="E87" s="12" t="s">
        <v>464</v>
      </c>
      <c r="F87" s="13" t="s">
        <v>342</v>
      </c>
      <c r="G87" s="12" t="s">
        <v>365</v>
      </c>
      <c r="H87" s="11" t="s">
        <v>444</v>
      </c>
      <c r="I87" s="11" t="str">
        <f>INDEX(Dependencies!$I$3:$I$76,MATCH(C87,Dependencies!$A$3:$A$76,0))</f>
        <v>Not Started</v>
      </c>
    </row>
    <row r="88" spans="1:9" ht="25.5" customHeight="1">
      <c r="A88" s="12" t="s">
        <v>366</v>
      </c>
      <c r="B88" s="12" t="s">
        <v>523</v>
      </c>
      <c r="C88" s="11" t="s">
        <v>547</v>
      </c>
      <c r="D88" s="11" t="s">
        <v>35</v>
      </c>
      <c r="E88" s="12" t="s">
        <v>548</v>
      </c>
      <c r="F88" s="13" t="s">
        <v>342</v>
      </c>
      <c r="G88" s="12" t="s">
        <v>549</v>
      </c>
      <c r="H88" s="11" t="s">
        <v>515</v>
      </c>
      <c r="I88" s="11" t="str">
        <f>INDEX(Dependencies!$I$3:$I$76,MATCH(C88,Dependencies!$A$3:$A$76,0))</f>
        <v>Not Started</v>
      </c>
    </row>
  </sheetData>
  <autoFilter ref="A14:I88" xr:uid="{00000000-0009-0000-0000-000009000000}"/>
  <mergeCells count="2">
    <mergeCell ref="A1:I1"/>
    <mergeCell ref="A13:I13"/>
  </mergeCells>
  <conditionalFormatting sqref="I15:I88">
    <cfRule type="cellIs" dxfId="5" priority="2" operator="equal">
      <formula>"Available"</formula>
    </cfRule>
    <cfRule type="cellIs" dxfId="4" priority="3" operator="equal">
      <formula>"Closed"</formula>
    </cfRule>
    <cfRule type="cellIs" dxfId="3" priority="4" operator="equal">
      <formula>"Requested"</formula>
    </cfRule>
    <cfRule type="cellIs" dxfId="2" priority="5" operator="equal">
      <formula>"In Progress"</formula>
    </cfRule>
    <cfRule type="cellIs" dxfId="1" priority="6" operator="equal">
      <formula>"At Risk"</formula>
    </cfRule>
    <cfRule type="cellIs" dxfId="0" priority="7" operator="equal">
      <formula>"Blocked"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9"/>
  <sheetViews>
    <sheetView zoomScaleNormal="100" workbookViewId="0"/>
  </sheetViews>
  <sheetFormatPr defaultColWidth="8.7109375" defaultRowHeight="15"/>
  <sheetData>
    <row r="1" spans="1:7">
      <c r="A1" t="s">
        <v>566</v>
      </c>
      <c r="B1" t="s">
        <v>567</v>
      </c>
      <c r="C1" t="s">
        <v>568</v>
      </c>
      <c r="D1" t="s">
        <v>46</v>
      </c>
      <c r="E1" t="s">
        <v>45</v>
      </c>
      <c r="F1" t="s">
        <v>569</v>
      </c>
      <c r="G1" t="s">
        <v>570</v>
      </c>
    </row>
    <row r="2" spans="1:7">
      <c r="A2" t="s">
        <v>296</v>
      </c>
      <c r="B2" t="s">
        <v>296</v>
      </c>
      <c r="C2" t="s">
        <v>298</v>
      </c>
      <c r="D2" t="s">
        <v>59</v>
      </c>
      <c r="E2" t="s">
        <v>77</v>
      </c>
      <c r="F2" t="s">
        <v>296</v>
      </c>
      <c r="G2" t="s">
        <v>328</v>
      </c>
    </row>
    <row r="3" spans="1:7">
      <c r="A3" t="s">
        <v>308</v>
      </c>
      <c r="B3" t="s">
        <v>308</v>
      </c>
      <c r="C3" t="s">
        <v>571</v>
      </c>
      <c r="D3" t="s">
        <v>68</v>
      </c>
      <c r="E3" t="s">
        <v>65</v>
      </c>
      <c r="F3" t="s">
        <v>572</v>
      </c>
      <c r="G3" t="s">
        <v>342</v>
      </c>
    </row>
    <row r="4" spans="1:7">
      <c r="A4" t="s">
        <v>573</v>
      </c>
      <c r="B4" t="s">
        <v>574</v>
      </c>
      <c r="C4" t="s">
        <v>297</v>
      </c>
      <c r="D4" t="s">
        <v>575</v>
      </c>
      <c r="E4" t="s">
        <v>58</v>
      </c>
      <c r="F4" t="s">
        <v>308</v>
      </c>
    </row>
    <row r="5" spans="1:7">
      <c r="A5" t="s">
        <v>576</v>
      </c>
      <c r="B5" t="s">
        <v>577</v>
      </c>
      <c r="C5" t="s">
        <v>578</v>
      </c>
      <c r="F5" t="s">
        <v>579</v>
      </c>
    </row>
    <row r="6" spans="1:7">
      <c r="A6" t="s">
        <v>11</v>
      </c>
      <c r="B6" t="s">
        <v>580</v>
      </c>
      <c r="C6" t="s">
        <v>581</v>
      </c>
      <c r="F6" t="s">
        <v>582</v>
      </c>
    </row>
    <row r="7" spans="1:7">
      <c r="A7" t="s">
        <v>583</v>
      </c>
      <c r="B7" t="s">
        <v>11</v>
      </c>
      <c r="C7" t="s">
        <v>584</v>
      </c>
      <c r="F7" t="s">
        <v>11</v>
      </c>
    </row>
    <row r="8" spans="1:7">
      <c r="A8" t="s">
        <v>295</v>
      </c>
      <c r="B8" t="s">
        <v>304</v>
      </c>
      <c r="C8" t="s">
        <v>304</v>
      </c>
      <c r="F8" t="s">
        <v>338</v>
      </c>
    </row>
    <row r="9" spans="1:7">
      <c r="A9" t="s">
        <v>304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2026-09-03T12:24:25Z</dcterms:created>
  <dcterms:modified xsi:type="dcterms:W3CDTF">2026-10-08T18:16:14Z</dcterms:modified>
  <cp:category/>
  <cp:contentStatus/>
</cp:coreProperties>
</file>